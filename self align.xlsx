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wr\Desktop\"/>
    </mc:Choice>
  </mc:AlternateContent>
  <xr:revisionPtr revIDLastSave="0" documentId="13_ncr:1_{019DE6EC-F01D-4727-A908-3B15A1D73880}" xr6:coauthVersionLast="45" xr6:coauthVersionMax="45" xr10:uidLastSave="{00000000-0000-0000-0000-000000000000}"/>
  <bookViews>
    <workbookView xWindow="-120" yWindow="-120" windowWidth="29040" windowHeight="15990" xr2:uid="{EA586C0A-EDFF-4337-B6C8-62116C070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1" i="1" l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30" i="1"/>
  <c r="G31" i="1" l="1"/>
  <c r="G32" i="1"/>
  <c r="G33" i="1"/>
  <c r="G34" i="1"/>
  <c r="G35" i="1"/>
  <c r="G38" i="1"/>
  <c r="G39" i="1"/>
  <c r="G40" i="1"/>
  <c r="G41" i="1"/>
  <c r="G42" i="1"/>
  <c r="G43" i="1"/>
  <c r="G46" i="1"/>
  <c r="G47" i="1"/>
  <c r="G48" i="1"/>
  <c r="G49" i="1"/>
  <c r="G50" i="1"/>
  <c r="G51" i="1"/>
  <c r="E31" i="1"/>
  <c r="E32" i="1"/>
  <c r="F32" i="1" s="1"/>
  <c r="E33" i="1"/>
  <c r="E34" i="1"/>
  <c r="F34" i="1" s="1"/>
  <c r="E35" i="1"/>
  <c r="F35" i="1" s="1"/>
  <c r="E36" i="1"/>
  <c r="G36" i="1" s="1"/>
  <c r="E37" i="1"/>
  <c r="F37" i="1" s="1"/>
  <c r="E38" i="1"/>
  <c r="F38" i="1" s="1"/>
  <c r="E39" i="1"/>
  <c r="E40" i="1"/>
  <c r="F40" i="1" s="1"/>
  <c r="E41" i="1"/>
  <c r="F41" i="1" s="1"/>
  <c r="E42" i="1"/>
  <c r="F42" i="1" s="1"/>
  <c r="E43" i="1"/>
  <c r="F43" i="1" s="1"/>
  <c r="E44" i="1"/>
  <c r="G44" i="1" s="1"/>
  <c r="E45" i="1"/>
  <c r="F45" i="1" s="1"/>
  <c r="E46" i="1"/>
  <c r="F46" i="1" s="1"/>
  <c r="E47" i="1"/>
  <c r="E48" i="1"/>
  <c r="F48" i="1" s="1"/>
  <c r="E49" i="1"/>
  <c r="E50" i="1"/>
  <c r="E51" i="1"/>
  <c r="F51" i="1" s="1"/>
  <c r="E52" i="1"/>
  <c r="G52" i="1" s="1"/>
  <c r="E53" i="1"/>
  <c r="F53" i="1" s="1"/>
  <c r="F50" i="1"/>
  <c r="E30" i="1"/>
  <c r="F30" i="1" s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F44" i="1" l="1"/>
  <c r="F36" i="1"/>
  <c r="F52" i="1"/>
  <c r="G53" i="1"/>
  <c r="G45" i="1"/>
  <c r="G37" i="1"/>
  <c r="G30" i="1"/>
  <c r="F49" i="1"/>
  <c r="F33" i="1"/>
  <c r="F47" i="1"/>
  <c r="F39" i="1"/>
  <c r="F31" i="1"/>
  <c r="J33" i="1"/>
  <c r="J53" i="1"/>
  <c r="J30" i="1"/>
  <c r="J34" i="1"/>
  <c r="J38" i="1"/>
  <c r="J42" i="1"/>
  <c r="J46" i="1"/>
  <c r="J50" i="1"/>
  <c r="J45" i="1"/>
  <c r="J43" i="1"/>
  <c r="J51" i="1"/>
  <c r="J37" i="1"/>
  <c r="J31" i="1"/>
  <c r="J32" i="1"/>
  <c r="J36" i="1"/>
  <c r="J44" i="1"/>
  <c r="J52" i="1"/>
  <c r="J49" i="1"/>
  <c r="J35" i="1"/>
  <c r="J47" i="1"/>
  <c r="J40" i="1"/>
  <c r="J48" i="1"/>
  <c r="J41" i="1"/>
  <c r="C3" i="1"/>
  <c r="D3" i="1" s="1"/>
  <c r="F3" i="1" s="1"/>
  <c r="H3" i="1"/>
  <c r="C4" i="1"/>
  <c r="D4" i="1" s="1"/>
  <c r="F4" i="1" s="1"/>
  <c r="J39" i="1" l="1"/>
  <c r="K40" i="1" s="1"/>
  <c r="K52" i="1"/>
  <c r="K44" i="1"/>
  <c r="K34" i="1"/>
  <c r="K51" i="1"/>
  <c r="K43" i="1"/>
  <c r="K35" i="1"/>
  <c r="K37" i="1"/>
  <c r="K45" i="1"/>
  <c r="K48" i="1"/>
  <c r="K49" i="1"/>
  <c r="K32" i="1"/>
  <c r="K31" i="1"/>
  <c r="K38" i="1"/>
  <c r="K33" i="1"/>
  <c r="K46" i="1"/>
  <c r="K50" i="1"/>
  <c r="K41" i="1"/>
  <c r="K39" i="1"/>
  <c r="K42" i="1"/>
  <c r="K36" i="1"/>
  <c r="K53" i="1"/>
  <c r="K47" i="1"/>
  <c r="G3" i="1"/>
  <c r="I3" i="1"/>
  <c r="J3" i="1" s="1"/>
  <c r="C23" i="1"/>
  <c r="D23" i="1" s="1"/>
  <c r="F23" i="1" s="1"/>
  <c r="H23" i="1"/>
  <c r="C24" i="1"/>
  <c r="D24" i="1" s="1"/>
  <c r="F24" i="1" s="1"/>
  <c r="H24" i="1"/>
  <c r="C25" i="1"/>
  <c r="D25" i="1" s="1"/>
  <c r="F25" i="1" s="1"/>
  <c r="H25" i="1"/>
  <c r="C26" i="1"/>
  <c r="D26" i="1" s="1"/>
  <c r="F26" i="1" s="1"/>
  <c r="H26" i="1"/>
  <c r="C17" i="1"/>
  <c r="D17" i="1" s="1"/>
  <c r="F17" i="1" s="1"/>
  <c r="H17" i="1"/>
  <c r="C18" i="1"/>
  <c r="D18" i="1" s="1"/>
  <c r="F18" i="1" s="1"/>
  <c r="H18" i="1"/>
  <c r="C19" i="1"/>
  <c r="D19" i="1" s="1"/>
  <c r="F19" i="1" s="1"/>
  <c r="H19" i="1"/>
  <c r="C20" i="1"/>
  <c r="D20" i="1" s="1"/>
  <c r="F20" i="1" s="1"/>
  <c r="H20" i="1"/>
  <c r="C21" i="1"/>
  <c r="D21" i="1" s="1"/>
  <c r="F21" i="1" s="1"/>
  <c r="H21" i="1"/>
  <c r="C22" i="1"/>
  <c r="D22" i="1" s="1"/>
  <c r="F22" i="1" s="1"/>
  <c r="H22" i="1"/>
  <c r="H10" i="1"/>
  <c r="H11" i="1"/>
  <c r="H12" i="1"/>
  <c r="H13" i="1"/>
  <c r="H14" i="1"/>
  <c r="H15" i="1"/>
  <c r="H16" i="1"/>
  <c r="C16" i="1"/>
  <c r="D16" i="1" s="1"/>
  <c r="F16" i="1" s="1"/>
  <c r="C15" i="1"/>
  <c r="D15" i="1" s="1"/>
  <c r="F15" i="1" s="1"/>
  <c r="C14" i="1"/>
  <c r="D14" i="1" s="1"/>
  <c r="F14" i="1" s="1"/>
  <c r="C13" i="1"/>
  <c r="D13" i="1" s="1"/>
  <c r="F13" i="1" s="1"/>
  <c r="C12" i="1"/>
  <c r="D12" i="1" s="1"/>
  <c r="F12" i="1" s="1"/>
  <c r="C5" i="1"/>
  <c r="D5" i="1" s="1"/>
  <c r="F5" i="1" s="1"/>
  <c r="C6" i="1"/>
  <c r="D6" i="1" s="1"/>
  <c r="F6" i="1" s="1"/>
  <c r="C7" i="1"/>
  <c r="D7" i="1" s="1"/>
  <c r="F7" i="1" s="1"/>
  <c r="C8" i="1"/>
  <c r="D8" i="1" s="1"/>
  <c r="F8" i="1" s="1"/>
  <c r="C9" i="1"/>
  <c r="D9" i="1" s="1"/>
  <c r="F9" i="1" s="1"/>
  <c r="C10" i="1"/>
  <c r="D10" i="1" s="1"/>
  <c r="F10" i="1" s="1"/>
  <c r="C11" i="1"/>
  <c r="H5" i="1"/>
  <c r="H6" i="1"/>
  <c r="H7" i="1"/>
  <c r="H8" i="1"/>
  <c r="H9" i="1"/>
  <c r="H4" i="1"/>
  <c r="D11" i="1" l="1"/>
  <c r="F11" i="1" s="1"/>
  <c r="I11" i="1" s="1"/>
  <c r="J11" i="1" s="1"/>
  <c r="I14" i="1"/>
  <c r="J14" i="1" s="1"/>
  <c r="G14" i="1"/>
  <c r="G15" i="1"/>
  <c r="I15" i="1"/>
  <c r="J15" i="1" s="1"/>
  <c r="I20" i="1"/>
  <c r="J20" i="1" s="1"/>
  <c r="G20" i="1"/>
  <c r="I25" i="1"/>
  <c r="J25" i="1" s="1"/>
  <c r="G25" i="1"/>
  <c r="I16" i="1"/>
  <c r="J16" i="1" s="1"/>
  <c r="G16" i="1"/>
  <c r="I17" i="1"/>
  <c r="J17" i="1" s="1"/>
  <c r="G17" i="1"/>
  <c r="I22" i="1"/>
  <c r="J22" i="1" s="1"/>
  <c r="G22" i="1"/>
  <c r="G10" i="1"/>
  <c r="I10" i="1"/>
  <c r="J10" i="1" s="1"/>
  <c r="I19" i="1"/>
  <c r="G19" i="1"/>
  <c r="G12" i="1"/>
  <c r="I12" i="1"/>
  <c r="J12" i="1" s="1"/>
  <c r="I21" i="1"/>
  <c r="J21" i="1" s="1"/>
  <c r="G21" i="1"/>
  <c r="I23" i="1"/>
  <c r="J23" i="1" s="1"/>
  <c r="G23" i="1"/>
  <c r="I24" i="1"/>
  <c r="J24" i="1" s="1"/>
  <c r="G24" i="1"/>
  <c r="I26" i="1"/>
  <c r="J26" i="1" s="1"/>
  <c r="G26" i="1"/>
  <c r="G13" i="1"/>
  <c r="I13" i="1"/>
  <c r="J13" i="1" s="1"/>
  <c r="I18" i="1"/>
  <c r="J18" i="1" s="1"/>
  <c r="G18" i="1"/>
  <c r="J19" i="1"/>
  <c r="G9" i="1"/>
  <c r="I9" i="1"/>
  <c r="J9" i="1" s="1"/>
  <c r="I7" i="1"/>
  <c r="J7" i="1" s="1"/>
  <c r="G7" i="1"/>
  <c r="I6" i="1"/>
  <c r="J6" i="1" s="1"/>
  <c r="G6" i="1"/>
  <c r="I5" i="1"/>
  <c r="J5" i="1" s="1"/>
  <c r="G5" i="1"/>
  <c r="G4" i="1"/>
  <c r="I8" i="1"/>
  <c r="J8" i="1" s="1"/>
  <c r="G8" i="1"/>
  <c r="K21" i="1" l="1"/>
  <c r="G11" i="1"/>
  <c r="K17" i="1"/>
  <c r="K6" i="1"/>
  <c r="K10" i="1"/>
  <c r="K18" i="1"/>
  <c r="K12" i="1"/>
  <c r="K13" i="1"/>
  <c r="K25" i="1"/>
  <c r="K20" i="1"/>
  <c r="K22" i="1"/>
  <c r="K11" i="1"/>
  <c r="K15" i="1"/>
  <c r="K7" i="1"/>
  <c r="K23" i="1"/>
  <c r="K9" i="1"/>
  <c r="K14" i="1"/>
  <c r="K26" i="1"/>
  <c r="K8" i="1"/>
  <c r="K24" i="1"/>
  <c r="K19" i="1"/>
  <c r="K16" i="1"/>
  <c r="I4" i="1"/>
  <c r="J4" i="1" s="1"/>
  <c r="K5" i="1" l="1"/>
  <c r="K4" i="1"/>
</calcChain>
</file>

<file path=xl/sharedStrings.xml><?xml version="1.0" encoding="utf-8"?>
<sst xmlns="http://schemas.openxmlformats.org/spreadsheetml/2006/main" count="20" uniqueCount="10">
  <si>
    <t>R</t>
    <phoneticPr fontId="1" type="noConversion"/>
  </si>
  <si>
    <t>r</t>
    <phoneticPr fontId="1" type="noConversion"/>
  </si>
  <si>
    <t>r/R</t>
    <phoneticPr fontId="1" type="noConversion"/>
  </si>
  <si>
    <t>p</t>
    <phoneticPr fontId="1" type="noConversion"/>
  </si>
  <si>
    <t>P</t>
    <phoneticPr fontId="1" type="noConversion"/>
  </si>
  <si>
    <t>p/P</t>
    <phoneticPr fontId="1" type="noConversion"/>
  </si>
  <si>
    <t>S</t>
    <phoneticPr fontId="1" type="noConversion"/>
  </si>
  <si>
    <t>alpha</t>
    <phoneticPr fontId="1" type="noConversion"/>
  </si>
  <si>
    <t>n</t>
    <phoneticPr fontId="1" type="noConversion"/>
  </si>
  <si>
    <t>increase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</si>
</sst>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_ "/>
  </numFmts>
  <fonts count="3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Surface</a:t>
            </a:r>
            <a:r>
              <a:rPr lang="en-US" altLang="zh-TW" baseline="0"/>
              <a:t> area ratio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Sheet1!$B$3:$B$26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Sheet1!$J$3:$J$26</c:f>
              <c:numCache>
                <c:formatCode>0.00</c:formatCode>
                <c:ptCount val="24"/>
                <c:pt idx="0">
                  <c:v>0.5</c:v>
                </c:pt>
                <c:pt idx="1">
                  <c:v>0.92820323027550911</c:v>
                </c:pt>
                <c:pt idx="2">
                  <c:v>1.2426406871192852</c:v>
                </c:pt>
                <c:pt idx="3">
                  <c:v>1.4807676326350006</c:v>
                </c:pt>
                <c:pt idx="4">
                  <c:v>1.666666666666667</c:v>
                </c:pt>
                <c:pt idx="5">
                  <c:v>1.8155603300916681</c:v>
                </c:pt>
                <c:pt idx="6">
                  <c:v>1.9373805773990866</c:v>
                </c:pt>
                <c:pt idx="7">
                  <c:v>2.0388376137371917</c:v>
                </c:pt>
                <c:pt idx="8">
                  <c:v>2.1246117974981074</c:v>
                </c:pt>
                <c:pt idx="9">
                  <c:v>2.1980603936261276</c:v>
                </c:pt>
                <c:pt idx="10">
                  <c:v>2.2616511143552498</c:v>
                </c:pt>
                <c:pt idx="11">
                  <c:v>2.3172368866180593</c:v>
                </c:pt>
                <c:pt idx="12">
                  <c:v>2.3662352611586921</c:v>
                </c:pt>
                <c:pt idx="13">
                  <c:v>2.4097487370769919</c:v>
                </c:pt>
                <c:pt idx="14">
                  <c:v>2.4486474171300601</c:v>
                </c:pt>
                <c:pt idx="15">
                  <c:v>2.4836270180603348</c:v>
                </c:pt>
                <c:pt idx="16">
                  <c:v>2.5152503761442984</c:v>
                </c:pt>
                <c:pt idx="17">
                  <c:v>2.5439776637971767</c:v>
                </c:pt>
                <c:pt idx="18">
                  <c:v>2.5701887358234226</c:v>
                </c:pt>
                <c:pt idx="19">
                  <c:v>2.5941998926142693</c:v>
                </c:pt>
                <c:pt idx="20">
                  <c:v>2.6162766197246947</c:v>
                </c:pt>
                <c:pt idx="21">
                  <c:v>2.6366433854578473</c:v>
                </c:pt>
                <c:pt idx="22">
                  <c:v>2.6554912586022108</c:v>
                </c:pt>
                <c:pt idx="23">
                  <c:v>2.6729838911945922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B-44B6-863C-F464035F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620367"/>
        <c:axId val="924351503"/>
      </c:scatterChart>
      <c:scatterChart>
        <c:scatterStyle val="lineMarker"/>
        <c:varyColors val="0"/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Sheet1!$B$3:$B$26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Sheet1!$K$3:$K$26</c:f>
              <c:numCache>
                <c:formatCode>0.000_ </c:formatCode>
                <c:ptCount val="24"/>
                <c:pt idx="1">
                  <c:v>0.42820323027550911</c:v>
                </c:pt>
                <c:pt idx="2">
                  <c:v>0.31443745684377611</c:v>
                </c:pt>
                <c:pt idx="3">
                  <c:v>0.23812694551571534</c:v>
                </c:pt>
                <c:pt idx="4">
                  <c:v>0.18589903403166641</c:v>
                </c:pt>
                <c:pt idx="5">
                  <c:v>0.1488936634250011</c:v>
                </c:pt>
                <c:pt idx="6">
                  <c:v>0.12182024730741858</c:v>
                </c:pt>
                <c:pt idx="7">
                  <c:v>0.1014570363381051</c:v>
                </c:pt>
                <c:pt idx="8">
                  <c:v>8.5774183760915612E-2</c:v>
                </c:pt>
                <c:pt idx="9">
                  <c:v>7.3448596128020238E-2</c:v>
                </c:pt>
                <c:pt idx="10">
                  <c:v>6.3590720729122197E-2</c:v>
                </c:pt>
                <c:pt idx="11">
                  <c:v>5.5585772262809474E-2</c:v>
                </c:pt>
                <c:pt idx="12">
                  <c:v>4.8998374540632827E-2</c:v>
                </c:pt>
                <c:pt idx="13">
                  <c:v>4.3513475918299793E-2</c:v>
                </c:pt>
                <c:pt idx="14">
                  <c:v>3.889868005306818E-2</c:v>
                </c:pt>
                <c:pt idx="15">
                  <c:v>3.4979600930274746E-2</c:v>
                </c:pt>
                <c:pt idx="16">
                  <c:v>3.1623358083963549E-2</c:v>
                </c:pt>
                <c:pt idx="17">
                  <c:v>2.8727287652878353E-2</c:v>
                </c:pt>
                <c:pt idx="18">
                  <c:v>2.6211072026245841E-2</c:v>
                </c:pt>
                <c:pt idx="19">
                  <c:v>2.4011156790846755E-2</c:v>
                </c:pt>
                <c:pt idx="20">
                  <c:v>2.2076727110425409E-2</c:v>
                </c:pt>
                <c:pt idx="21">
                  <c:v>2.0366765733152548E-2</c:v>
                </c:pt>
                <c:pt idx="22">
                  <c:v>1.8847873144363536E-2</c:v>
                </c:pt>
                <c:pt idx="23">
                  <c:v>1.749263259238143E-2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9B-44B6-863C-F464035F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672095"/>
        <c:axId val="929670431"/>
      </c:scatterChart>
      <c:valAx>
        <c:axId val="92462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4351503"/>
        <c:crosses val="autoZero"/>
        <c:crossBetween val="midCat"/>
      </c:valAx>
      <c:valAx>
        <c:axId val="92435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4620367"/>
        <c:crosses val="autoZero"/>
        <c:crossBetween val="midCat"/>
      </c:valAx>
      <c:valAx>
        <c:axId val="9296704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9672095"/>
        <c:crosses val="max"/>
        <c:crossBetween val="midCat"/>
      </c:valAx>
      <c:valAx>
        <c:axId val="929672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9670431"/>
        <c:crosses val="autoZero"/>
        <c:crossBetween val="midCat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Surface</a:t>
            </a:r>
            <a:r>
              <a:rPr lang="en-US" altLang="zh-TW" baseline="0"/>
              <a:t> area ratio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Sheet1!$B$30:$B$53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Sheet1!$J$30:$J$53</c:f>
              <c:numCache>
                <c:formatCode>0.00</c:formatCode>
                <c:ptCount val="24"/>
                <c:pt idx="0">
                  <c:v>0.5</c:v>
                </c:pt>
                <c:pt idx="1">
                  <c:v>0.92820323027550922</c:v>
                </c:pt>
                <c:pt idx="2">
                  <c:v>1.2426406871192852</c:v>
                </c:pt>
                <c:pt idx="3">
                  <c:v>1.4807676326350003</c:v>
                </c:pt>
                <c:pt idx="4">
                  <c:v>1.666666666666667</c:v>
                </c:pt>
                <c:pt idx="5">
                  <c:v>1.8155603300916678</c:v>
                </c:pt>
                <c:pt idx="6">
                  <c:v>1.9373805773990864</c:v>
                </c:pt>
                <c:pt idx="7">
                  <c:v>2.0388376137371917</c:v>
                </c:pt>
                <c:pt idx="8">
                  <c:v>2.1246117974981074</c:v>
                </c:pt>
                <c:pt idx="9">
                  <c:v>2.1980603936261276</c:v>
                </c:pt>
                <c:pt idx="10">
                  <c:v>2.2616511143552498</c:v>
                </c:pt>
                <c:pt idx="11">
                  <c:v>2.3172368866180588</c:v>
                </c:pt>
                <c:pt idx="12">
                  <c:v>2.3662352611586916</c:v>
                </c:pt>
                <c:pt idx="13">
                  <c:v>2.4097487370769919</c:v>
                </c:pt>
                <c:pt idx="14">
                  <c:v>2.4486474171300601</c:v>
                </c:pt>
                <c:pt idx="15">
                  <c:v>2.4836270180603348</c:v>
                </c:pt>
                <c:pt idx="16">
                  <c:v>2.5152503761442979</c:v>
                </c:pt>
                <c:pt idx="17">
                  <c:v>2.5439776637971767</c:v>
                </c:pt>
                <c:pt idx="18">
                  <c:v>2.570188735823423</c:v>
                </c:pt>
                <c:pt idx="19">
                  <c:v>2.5941998926142684</c:v>
                </c:pt>
                <c:pt idx="20">
                  <c:v>2.6162766197246943</c:v>
                </c:pt>
                <c:pt idx="21">
                  <c:v>2.6366433854578468</c:v>
                </c:pt>
                <c:pt idx="22">
                  <c:v>2.6554912586022108</c:v>
                </c:pt>
                <c:pt idx="23">
                  <c:v>2.6729838911945922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9-4D0A-B488-8672E5A99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620367"/>
        <c:axId val="924351503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Sheet1!$B$30:$B$53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Sheet1!$E$30:$E$53</c:f>
              <c:numCache>
                <c:formatCode>0.00</c:formatCode>
                <c:ptCount val="24"/>
                <c:pt idx="0">
                  <c:v>12.5</c:v>
                </c:pt>
                <c:pt idx="1">
                  <c:v>11.602540378443866</c:v>
                </c:pt>
                <c:pt idx="2">
                  <c:v>10.355339059327378</c:v>
                </c:pt>
                <c:pt idx="3">
                  <c:v>9.2547977039687535</c:v>
                </c:pt>
                <c:pt idx="4">
                  <c:v>8.3333333333333339</c:v>
                </c:pt>
                <c:pt idx="5">
                  <c:v>7.5648347087152832</c:v>
                </c:pt>
                <c:pt idx="6">
                  <c:v>6.9192163478538804</c:v>
                </c:pt>
                <c:pt idx="7">
                  <c:v>6.3713675429287244</c:v>
                </c:pt>
                <c:pt idx="8">
                  <c:v>5.9016994374947425</c:v>
                </c:pt>
                <c:pt idx="9">
                  <c:v>5.4951509840653197</c:v>
                </c:pt>
                <c:pt idx="10">
                  <c:v>5.1401161689892048</c:v>
                </c:pt>
                <c:pt idx="11">
                  <c:v>4.8275768471209561</c:v>
                </c:pt>
                <c:pt idx="12">
                  <c:v>4.5504524253051768</c:v>
                </c:pt>
                <c:pt idx="13">
                  <c:v>4.3031227447803424</c:v>
                </c:pt>
                <c:pt idx="14">
                  <c:v>4.0810790285501009</c:v>
                </c:pt>
                <c:pt idx="15">
                  <c:v>3.880667215719273</c:v>
                </c:pt>
                <c:pt idx="16">
                  <c:v>3.6988976119769097</c:v>
                </c:pt>
                <c:pt idx="17">
                  <c:v>3.5333023108294124</c:v>
                </c:pt>
                <c:pt idx="18">
                  <c:v>3.381827283978188</c:v>
                </c:pt>
                <c:pt idx="19">
                  <c:v>3.2427498657678364</c:v>
                </c:pt>
                <c:pt idx="20">
                  <c:v>3.1146150234817793</c:v>
                </c:pt>
                <c:pt idx="21">
                  <c:v>2.9961856652930074</c:v>
                </c:pt>
                <c:pt idx="22">
                  <c:v>2.8864035419589245</c:v>
                </c:pt>
                <c:pt idx="23">
                  <c:v>2.7843582199943668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E9-4D0A-B488-8672E5A99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672095"/>
        <c:axId val="929670431"/>
      </c:scatterChart>
      <c:valAx>
        <c:axId val="92462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4351503"/>
        <c:crosses val="autoZero"/>
        <c:crossBetween val="midCat"/>
      </c:valAx>
      <c:valAx>
        <c:axId val="92435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4620367"/>
        <c:crosses val="autoZero"/>
        <c:crossBetween val="midCat"/>
      </c:valAx>
      <c:valAx>
        <c:axId val="92967043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9672095"/>
        <c:crosses val="max"/>
        <c:crossBetween val="midCat"/>
      </c:valAx>
      <c:valAx>
        <c:axId val="929672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9670431"/>
        <c:crosses val="autoZero"/>
        <c:crossBetween val="midCat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247649</xdr:colOff>
      <xdr:row>2</xdr:row>
      <xdr:rowOff>0</xdr:rowOff>
    </xdr:from>
    <xdr:to>
      <xdr:col>23</xdr:col>
      <xdr:colOff>238125</xdr:colOff>
      <xdr:row>25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434091-8C30-4CC7-8A07-E2BAC9A75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324971</xdr:colOff>
      <xdr:row>12</xdr:row>
      <xdr:rowOff>236726</xdr:rowOff>
    </xdr:from>
    <xdr:to>
      <xdr:col>22</xdr:col>
      <xdr:colOff>179293</xdr:colOff>
      <xdr:row>21</xdr:row>
      <xdr:rowOff>31137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0B6AF7-A93B-4DDE-89FB-20C461E19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2059" y="3351961"/>
          <a:ext cx="2274793" cy="2214882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>
    <xdr:from>
      <xdr:col>11</xdr:col>
      <xdr:colOff>224118</xdr:colOff>
      <xdr:row>27</xdr:row>
      <xdr:rowOff>156882</xdr:rowOff>
    </xdr:from>
    <xdr:to>
      <xdr:col>23</xdr:col>
      <xdr:colOff>214594</xdr:colOff>
      <xdr:row>57</xdr:row>
      <xdr:rowOff>98052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E007D8-F1A9-4B09-8FF4-4E01CD3F7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6A90-1546-401E-9FDE-19F285CF78EB}">
  <dimension ref="B2:K53"/>
  <sheetViews>
    <sheetView showGridLines="0" tabSelected="1" topLeftCell="A22" zoomScale="85" zoomScaleNormal="85" workbookViewId="0">
      <selection activeCell="E32" sqref="E32"/>
    </sheetView>
  </sheetViews>
  <sheetFormatPr defaultRowHeight="16.5" x14ac:dyDescent="0.25"/>
  <cols>
    <col min="1" max="2" width="9.140625" style="1"/>
    <col min="3" max="3" width="10.28515625" style="1" bestFit="1" customWidth="1"/>
    <col min="4" max="4" width="9.140625" style="1"/>
    <col min="5" max="5" width="10.85546875" style="1" customWidth="1"/>
    <col min="6" max="10" width="9.140625" style="1"/>
    <col min="11" max="11" width="12.28515625" style="1" bestFit="1" customWidth="1"/>
    <col min="12" max="13" width="9.140625" style="1"/>
    <col min="14" max="14" width="9.5703125" style="1" bestFit="1" customWidth="1"/>
    <col min="15" max="16384" width="9.140625" style="1"/>
  </cols>
  <sheetData>
    <row r="2" spans="2:11" x14ac:dyDescent="0.25">
      <c r="B2" s="10" t="s">
        <v>8</v>
      </c>
      <c r="C2" s="10" t="s">
        <v>7</v>
      </c>
      <c r="D2" s="10" t="s">
        <v>6</v>
      </c>
      <c r="E2" s="10" t="s">
        <v>1</v>
      </c>
      <c r="F2" s="10" t="s">
        <v>0</v>
      </c>
      <c r="G2" s="10" t="s">
        <v>2</v>
      </c>
      <c r="H2" s="10" t="s">
        <v>3</v>
      </c>
      <c r="I2" s="10" t="s">
        <v>4</v>
      </c>
      <c r="J2" s="10" t="s">
        <v>5</v>
      </c>
      <c r="K2" s="10" t="s">
        <v>9</v>
      </c>
    </row>
    <row r="3" spans="2:11" ht="21" customHeight="1" x14ac:dyDescent="0.25">
      <c r="B3" s="2">
        <v>2</v>
      </c>
      <c r="C3" s="3">
        <f t="shared" ref="C3:C26" si="0">((B3-2)*90)/B3</f>
        <v>0</v>
      </c>
      <c r="D3" s="4">
        <f>1/COS(C3/180*PI())</f>
        <v>1</v>
      </c>
      <c r="E3" s="2">
        <v>1</v>
      </c>
      <c r="F3" s="4">
        <f t="shared" ref="F3:F26" si="1">E3+D3</f>
        <v>2</v>
      </c>
      <c r="G3" s="4">
        <f>E3/F3</f>
        <v>0.5</v>
      </c>
      <c r="H3" s="4">
        <f t="shared" ref="H3:H26" si="2">B3*((B3-1)/B3*2*PI()*E3)</f>
        <v>6.2831853071795862</v>
      </c>
      <c r="I3" s="4">
        <f>2*PI()*F3</f>
        <v>12.566370614359172</v>
      </c>
      <c r="J3" s="4">
        <f>H3/I3</f>
        <v>0.5</v>
      </c>
      <c r="K3" s="2"/>
    </row>
    <row r="4" spans="2:11" ht="21" customHeight="1" x14ac:dyDescent="0.25">
      <c r="B4" s="2">
        <v>3</v>
      </c>
      <c r="C4" s="3">
        <f t="shared" si="0"/>
        <v>30</v>
      </c>
      <c r="D4" s="4">
        <f>1/COS(C4/180*PI())</f>
        <v>1.1547005383792515</v>
      </c>
      <c r="E4" s="2">
        <v>1</v>
      </c>
      <c r="F4" s="4">
        <f t="shared" si="1"/>
        <v>2.1547005383792515</v>
      </c>
      <c r="G4" s="4">
        <f>E4/F4</f>
        <v>0.46410161513775461</v>
      </c>
      <c r="H4" s="4">
        <f t="shared" si="2"/>
        <v>12.566370614359172</v>
      </c>
      <c r="I4" s="4">
        <f>2*PI()*F4</f>
        <v>13.538382764116458</v>
      </c>
      <c r="J4" s="4">
        <f>H4/I4</f>
        <v>0.92820323027550911</v>
      </c>
      <c r="K4" s="5">
        <f t="shared" ref="K4:K26" si="3">J4-J3</f>
        <v>0.42820323027550911</v>
      </c>
    </row>
    <row r="5" spans="2:11" ht="21" customHeight="1" x14ac:dyDescent="0.25">
      <c r="B5" s="2">
        <v>4</v>
      </c>
      <c r="C5" s="3">
        <f t="shared" si="0"/>
        <v>45</v>
      </c>
      <c r="D5" s="4">
        <f t="shared" ref="D5:D26" si="4">1/COS(C5/180*PI())</f>
        <v>1.4142135623730949</v>
      </c>
      <c r="E5" s="2">
        <v>1</v>
      </c>
      <c r="F5" s="4">
        <f t="shared" si="1"/>
        <v>2.4142135623730949</v>
      </c>
      <c r="G5" s="4">
        <f t="shared" ref="G5:G9" si="5">E5/F5</f>
        <v>0.41421356237309509</v>
      </c>
      <c r="H5" s="4">
        <f t="shared" si="2"/>
        <v>18.849555921538759</v>
      </c>
      <c r="I5" s="4">
        <f t="shared" ref="I5:I9" si="6">2*PI()*F5</f>
        <v>15.168951183496318</v>
      </c>
      <c r="J5" s="4">
        <f t="shared" ref="J5:J9" si="7">H5/I5</f>
        <v>1.2426406871192852</v>
      </c>
      <c r="K5" s="5">
        <f>J5-J4</f>
        <v>0.31443745684377611</v>
      </c>
    </row>
    <row r="6" spans="2:11" ht="21" customHeight="1" x14ac:dyDescent="0.25">
      <c r="B6" s="2">
        <v>5</v>
      </c>
      <c r="C6" s="3">
        <f t="shared" si="0"/>
        <v>54</v>
      </c>
      <c r="D6" s="4">
        <f t="shared" si="4"/>
        <v>1.7013016167040798</v>
      </c>
      <c r="E6" s="2">
        <v>1</v>
      </c>
      <c r="F6" s="4">
        <f t="shared" si="1"/>
        <v>2.7013016167040798</v>
      </c>
      <c r="G6" s="4">
        <f t="shared" si="5"/>
        <v>0.37019190815875014</v>
      </c>
      <c r="H6" s="4">
        <f t="shared" si="2"/>
        <v>25.132741228718345</v>
      </c>
      <c r="I6" s="4">
        <f t="shared" si="6"/>
        <v>16.972778628335536</v>
      </c>
      <c r="J6" s="4">
        <f t="shared" si="7"/>
        <v>1.4807676326350006</v>
      </c>
      <c r="K6" s="5">
        <f t="shared" si="3"/>
        <v>0.23812694551571534</v>
      </c>
    </row>
    <row r="7" spans="2:11" ht="21" customHeight="1" x14ac:dyDescent="0.25">
      <c r="B7" s="2">
        <v>6</v>
      </c>
      <c r="C7" s="3">
        <f t="shared" si="0"/>
        <v>60</v>
      </c>
      <c r="D7" s="4">
        <f t="shared" si="4"/>
        <v>1.9999999999999996</v>
      </c>
      <c r="E7" s="2">
        <v>1</v>
      </c>
      <c r="F7" s="4">
        <f t="shared" si="1"/>
        <v>2.9999999999999996</v>
      </c>
      <c r="G7" s="4">
        <f t="shared" si="5"/>
        <v>0.33333333333333337</v>
      </c>
      <c r="H7" s="4">
        <f t="shared" si="2"/>
        <v>31.415926535897931</v>
      </c>
      <c r="I7" s="4">
        <f t="shared" si="6"/>
        <v>18.849555921538755</v>
      </c>
      <c r="J7" s="4">
        <f t="shared" si="7"/>
        <v>1.666666666666667</v>
      </c>
      <c r="K7" s="5">
        <f t="shared" si="3"/>
        <v>0.18589903403166641</v>
      </c>
    </row>
    <row r="8" spans="2:11" ht="21" customHeight="1" x14ac:dyDescent="0.25">
      <c r="B8" s="2">
        <v>7</v>
      </c>
      <c r="C8" s="3">
        <f t="shared" si="0"/>
        <v>64.285714285714292</v>
      </c>
      <c r="D8" s="4">
        <f t="shared" si="4"/>
        <v>2.3047648709624862</v>
      </c>
      <c r="E8" s="2">
        <v>1</v>
      </c>
      <c r="F8" s="4">
        <f t="shared" si="1"/>
        <v>3.3047648709624862</v>
      </c>
      <c r="G8" s="4">
        <f t="shared" si="5"/>
        <v>0.30259338834861133</v>
      </c>
      <c r="H8" s="4">
        <f t="shared" si="2"/>
        <v>37.699111843077517</v>
      </c>
      <c r="I8" s="4">
        <f t="shared" si="6"/>
        <v>20.764450080914735</v>
      </c>
      <c r="J8" s="4">
        <f t="shared" si="7"/>
        <v>1.8155603300916681</v>
      </c>
      <c r="K8" s="5">
        <f t="shared" si="3"/>
        <v>0.1488936634250011</v>
      </c>
    </row>
    <row r="9" spans="2:11" ht="21" customHeight="1" x14ac:dyDescent="0.25">
      <c r="B9" s="2">
        <v>8</v>
      </c>
      <c r="C9" s="3">
        <f t="shared" si="0"/>
        <v>67.5</v>
      </c>
      <c r="D9" s="4">
        <f t="shared" si="4"/>
        <v>2.6131259297527527</v>
      </c>
      <c r="E9" s="2">
        <v>1</v>
      </c>
      <c r="F9" s="4">
        <f t="shared" si="1"/>
        <v>3.6131259297527527</v>
      </c>
      <c r="G9" s="4">
        <f t="shared" si="5"/>
        <v>0.27676865391415523</v>
      </c>
      <c r="H9" s="4">
        <f t="shared" si="2"/>
        <v>43.982297150257104</v>
      </c>
      <c r="I9" s="4">
        <f t="shared" si="6"/>
        <v>22.701939754812077</v>
      </c>
      <c r="J9" s="4">
        <f t="shared" si="7"/>
        <v>1.9373805773990866</v>
      </c>
      <c r="K9" s="5">
        <f t="shared" si="3"/>
        <v>0.12182024730741858</v>
      </c>
    </row>
    <row r="10" spans="2:11" ht="21" customHeight="1" x14ac:dyDescent="0.25">
      <c r="B10" s="2">
        <v>9</v>
      </c>
      <c r="C10" s="3">
        <f t="shared" si="0"/>
        <v>70</v>
      </c>
      <c r="D10" s="4">
        <f t="shared" si="4"/>
        <v>2.9238044001630863</v>
      </c>
      <c r="E10" s="2">
        <v>1</v>
      </c>
      <c r="F10" s="4">
        <f t="shared" si="1"/>
        <v>3.9238044001630863</v>
      </c>
      <c r="G10" s="4">
        <f t="shared" ref="G10:G16" si="8">E10/F10</f>
        <v>0.25485470171714897</v>
      </c>
      <c r="H10" s="4">
        <f t="shared" si="2"/>
        <v>50.26548245743669</v>
      </c>
      <c r="I10" s="4">
        <f t="shared" ref="I10:I16" si="9">2*PI()*F10</f>
        <v>24.653990155351313</v>
      </c>
      <c r="J10" s="4">
        <f t="shared" ref="J10:J16" si="10">H10/I10</f>
        <v>2.0388376137371917</v>
      </c>
      <c r="K10" s="5">
        <f t="shared" si="3"/>
        <v>0.1014570363381051</v>
      </c>
    </row>
    <row r="11" spans="2:11" ht="21" customHeight="1" x14ac:dyDescent="0.25">
      <c r="B11" s="2">
        <v>10</v>
      </c>
      <c r="C11" s="3">
        <f t="shared" si="0"/>
        <v>72</v>
      </c>
      <c r="D11" s="4">
        <f t="shared" si="4"/>
        <v>3.2360679774997894</v>
      </c>
      <c r="E11" s="2">
        <v>1</v>
      </c>
      <c r="F11" s="4">
        <f t="shared" si="1"/>
        <v>4.2360679774997898</v>
      </c>
      <c r="G11" s="4">
        <f t="shared" si="8"/>
        <v>0.23606797749978969</v>
      </c>
      <c r="H11" s="4">
        <f t="shared" si="2"/>
        <v>56.548667764616276</v>
      </c>
      <c r="I11" s="4">
        <f t="shared" si="9"/>
        <v>26.616000076440624</v>
      </c>
      <c r="J11" s="4">
        <f t="shared" si="10"/>
        <v>2.1246117974981074</v>
      </c>
      <c r="K11" s="5">
        <f t="shared" si="3"/>
        <v>8.5774183760915612E-2</v>
      </c>
    </row>
    <row r="12" spans="2:11" ht="21" customHeight="1" x14ac:dyDescent="0.25">
      <c r="B12" s="2">
        <v>11</v>
      </c>
      <c r="C12" s="3">
        <f t="shared" si="0"/>
        <v>73.63636363636364</v>
      </c>
      <c r="D12" s="4">
        <f t="shared" si="4"/>
        <v>3.5494655328842244</v>
      </c>
      <c r="E12" s="2">
        <v>1</v>
      </c>
      <c r="F12" s="4">
        <f t="shared" si="1"/>
        <v>4.5494655328842244</v>
      </c>
      <c r="G12" s="4">
        <f t="shared" si="8"/>
        <v>0.21980603936261278</v>
      </c>
      <c r="H12" s="4">
        <f t="shared" si="2"/>
        <v>62.831853071795855</v>
      </c>
      <c r="I12" s="4">
        <f t="shared" si="9"/>
        <v>28.585134991738105</v>
      </c>
      <c r="J12" s="4">
        <f t="shared" si="10"/>
        <v>2.1980603936261276</v>
      </c>
      <c r="K12" s="5">
        <f t="shared" si="3"/>
        <v>7.3448596128020238E-2</v>
      </c>
    </row>
    <row r="13" spans="2:11" ht="21" customHeight="1" x14ac:dyDescent="0.25">
      <c r="B13" s="2">
        <v>12</v>
      </c>
      <c r="C13" s="3">
        <f t="shared" si="0"/>
        <v>75</v>
      </c>
      <c r="D13" s="4">
        <f t="shared" si="4"/>
        <v>3.8637033051562737</v>
      </c>
      <c r="E13" s="2">
        <v>1</v>
      </c>
      <c r="F13" s="4">
        <f t="shared" si="1"/>
        <v>4.8637033051562737</v>
      </c>
      <c r="G13" s="4">
        <f t="shared" si="8"/>
        <v>0.20560464675956819</v>
      </c>
      <c r="H13" s="4">
        <f t="shared" si="2"/>
        <v>69.115038378975441</v>
      </c>
      <c r="I13" s="4">
        <f t="shared" si="9"/>
        <v>30.559549145438691</v>
      </c>
      <c r="J13" s="4">
        <f t="shared" si="10"/>
        <v>2.2616511143552498</v>
      </c>
      <c r="K13" s="5">
        <f t="shared" si="3"/>
        <v>6.3590720729122197E-2</v>
      </c>
    </row>
    <row r="14" spans="2:11" ht="21" customHeight="1" x14ac:dyDescent="0.25">
      <c r="B14" s="2">
        <v>13</v>
      </c>
      <c r="C14" s="3">
        <f t="shared" si="0"/>
        <v>76.15384615384616</v>
      </c>
      <c r="D14" s="4">
        <f t="shared" si="4"/>
        <v>4.1785814688603793</v>
      </c>
      <c r="E14" s="2">
        <v>1</v>
      </c>
      <c r="F14" s="4">
        <f t="shared" si="1"/>
        <v>5.1785814688603793</v>
      </c>
      <c r="G14" s="4">
        <f t="shared" si="8"/>
        <v>0.19310307388483824</v>
      </c>
      <c r="H14" s="4">
        <f t="shared" si="2"/>
        <v>75.398223686155035</v>
      </c>
      <c r="I14" s="4">
        <f t="shared" si="9"/>
        <v>32.537986997176013</v>
      </c>
      <c r="J14" s="4">
        <f t="shared" si="10"/>
        <v>2.3172368866180593</v>
      </c>
      <c r="K14" s="5">
        <f t="shared" si="3"/>
        <v>5.5585772262809474E-2</v>
      </c>
    </row>
    <row r="15" spans="2:11" ht="21" customHeight="1" x14ac:dyDescent="0.25">
      <c r="B15" s="2">
        <v>14</v>
      </c>
      <c r="C15" s="3">
        <f t="shared" si="0"/>
        <v>77.142857142857139</v>
      </c>
      <c r="D15" s="4">
        <f t="shared" si="4"/>
        <v>4.4939592074349335</v>
      </c>
      <c r="E15" s="2">
        <v>1</v>
      </c>
      <c r="F15" s="4">
        <f t="shared" si="1"/>
        <v>5.4939592074349335</v>
      </c>
      <c r="G15" s="4">
        <f t="shared" si="8"/>
        <v>0.18201809701220706</v>
      </c>
      <c r="H15" s="4">
        <f t="shared" si="2"/>
        <v>81.681408993334628</v>
      </c>
      <c r="I15" s="4">
        <f t="shared" si="9"/>
        <v>34.519563770399181</v>
      </c>
      <c r="J15" s="4">
        <f t="shared" si="10"/>
        <v>2.3662352611586921</v>
      </c>
      <c r="K15" s="5">
        <f t="shared" si="3"/>
        <v>4.8998374540632827E-2</v>
      </c>
    </row>
    <row r="16" spans="2:11" ht="21" customHeight="1" x14ac:dyDescent="0.25">
      <c r="B16" s="2">
        <v>15</v>
      </c>
      <c r="C16" s="3">
        <f t="shared" si="0"/>
        <v>78</v>
      </c>
      <c r="D16" s="4">
        <f t="shared" si="4"/>
        <v>4.8097343447441334</v>
      </c>
      <c r="E16" s="2">
        <v>1</v>
      </c>
      <c r="F16" s="4">
        <f t="shared" si="1"/>
        <v>5.8097343447441334</v>
      </c>
      <c r="G16" s="4">
        <f t="shared" si="8"/>
        <v>0.1721249097912137</v>
      </c>
      <c r="H16" s="4">
        <f t="shared" si="2"/>
        <v>87.964594300514207</v>
      </c>
      <c r="I16" s="4">
        <f t="shared" si="9"/>
        <v>36.50363747351296</v>
      </c>
      <c r="J16" s="4">
        <f t="shared" si="10"/>
        <v>2.4097487370769919</v>
      </c>
      <c r="K16" s="5">
        <f t="shared" si="3"/>
        <v>4.3513475918299793E-2</v>
      </c>
    </row>
    <row r="17" spans="2:11" ht="21" customHeight="1" x14ac:dyDescent="0.25">
      <c r="B17" s="2">
        <v>16</v>
      </c>
      <c r="C17" s="3">
        <f t="shared" si="0"/>
        <v>78.75</v>
      </c>
      <c r="D17" s="4">
        <f t="shared" si="4"/>
        <v>5.125830895483011</v>
      </c>
      <c r="E17" s="2">
        <v>1</v>
      </c>
      <c r="F17" s="4">
        <f t="shared" si="1"/>
        <v>6.125830895483011</v>
      </c>
      <c r="G17" s="4">
        <f t="shared" ref="G17:G24" si="11">E17/F17</f>
        <v>0.16324316114200402</v>
      </c>
      <c r="H17" s="4">
        <f t="shared" si="2"/>
        <v>94.247779607693786</v>
      </c>
      <c r="I17" s="4">
        <f t="shared" ref="I17:I24" si="12">2*PI()*F17</f>
        <v>38.489730676765625</v>
      </c>
      <c r="J17" s="4">
        <f t="shared" ref="J17:J24" si="13">H17/I17</f>
        <v>2.4486474171300601</v>
      </c>
      <c r="K17" s="5">
        <f t="shared" si="3"/>
        <v>3.889868005306818E-2</v>
      </c>
    </row>
    <row r="18" spans="2:11" ht="21" customHeight="1" x14ac:dyDescent="0.25">
      <c r="B18" s="2">
        <v>17</v>
      </c>
      <c r="C18" s="3">
        <f t="shared" si="0"/>
        <v>79.411764705882348</v>
      </c>
      <c r="D18" s="4">
        <f t="shared" si="4"/>
        <v>5.4421911517518007</v>
      </c>
      <c r="E18" s="2">
        <v>1</v>
      </c>
      <c r="F18" s="4">
        <f t="shared" si="1"/>
        <v>6.4421911517518007</v>
      </c>
      <c r="G18" s="4">
        <f t="shared" si="11"/>
        <v>0.15522668862877093</v>
      </c>
      <c r="H18" s="4">
        <f t="shared" si="2"/>
        <v>100.53096491487338</v>
      </c>
      <c r="I18" s="4">
        <f t="shared" si="12"/>
        <v>40.477480790729253</v>
      </c>
      <c r="J18" s="4">
        <f t="shared" si="13"/>
        <v>2.4836270180603348</v>
      </c>
      <c r="K18" s="5">
        <f t="shared" si="3"/>
        <v>3.4979600930274746E-2</v>
      </c>
    </row>
    <row r="19" spans="2:11" ht="21" customHeight="1" x14ac:dyDescent="0.25">
      <c r="B19" s="2">
        <v>18</v>
      </c>
      <c r="C19" s="3">
        <f t="shared" si="0"/>
        <v>80</v>
      </c>
      <c r="D19" s="4">
        <f t="shared" si="4"/>
        <v>5.758770483143631</v>
      </c>
      <c r="E19" s="2">
        <v>1</v>
      </c>
      <c r="F19" s="4">
        <f t="shared" si="1"/>
        <v>6.758770483143631</v>
      </c>
      <c r="G19" s="4">
        <f t="shared" si="11"/>
        <v>0.14795590447907639</v>
      </c>
      <c r="H19" s="4">
        <f t="shared" si="2"/>
        <v>106.81415022205296</v>
      </c>
      <c r="I19" s="4">
        <f t="shared" si="12"/>
        <v>42.466607394287138</v>
      </c>
      <c r="J19" s="4">
        <f t="shared" si="13"/>
        <v>2.5152503761442984</v>
      </c>
      <c r="K19" s="5">
        <f t="shared" si="3"/>
        <v>3.1623358083963549E-2</v>
      </c>
    </row>
    <row r="20" spans="2:11" ht="21" customHeight="1" x14ac:dyDescent="0.25">
      <c r="B20" s="2">
        <v>19</v>
      </c>
      <c r="C20" s="3">
        <f t="shared" si="0"/>
        <v>80.526315789473685</v>
      </c>
      <c r="D20" s="4">
        <f t="shared" si="4"/>
        <v>6.0755338209742566</v>
      </c>
      <c r="E20" s="2">
        <v>1</v>
      </c>
      <c r="F20" s="4">
        <f t="shared" si="1"/>
        <v>7.0755338209742566</v>
      </c>
      <c r="G20" s="4">
        <f t="shared" si="11"/>
        <v>0.14133209243317649</v>
      </c>
      <c r="H20" s="4">
        <f t="shared" si="2"/>
        <v>113.09733552923255</v>
      </c>
      <c r="I20" s="4">
        <f t="shared" si="12"/>
        <v>44.456890144397683</v>
      </c>
      <c r="J20" s="4">
        <f t="shared" si="13"/>
        <v>2.5439776637971767</v>
      </c>
      <c r="K20" s="5">
        <f t="shared" si="3"/>
        <v>2.8727287652878353E-2</v>
      </c>
    </row>
    <row r="21" spans="2:11" ht="21" customHeight="1" x14ac:dyDescent="0.25">
      <c r="B21" s="2">
        <v>20</v>
      </c>
      <c r="C21" s="3">
        <f t="shared" si="0"/>
        <v>81</v>
      </c>
      <c r="D21" s="4">
        <f t="shared" si="4"/>
        <v>6.3924532214996592</v>
      </c>
      <c r="E21" s="2">
        <v>1</v>
      </c>
      <c r="F21" s="4">
        <f t="shared" si="1"/>
        <v>7.3924532214996592</v>
      </c>
      <c r="G21" s="4">
        <f t="shared" si="11"/>
        <v>0.13527309135912752</v>
      </c>
      <c r="H21" s="4">
        <f t="shared" si="2"/>
        <v>119.38052083641213</v>
      </c>
      <c r="I21" s="4">
        <f t="shared" si="12"/>
        <v>46.448153465339061</v>
      </c>
      <c r="J21" s="4">
        <f t="shared" si="13"/>
        <v>2.5701887358234226</v>
      </c>
      <c r="K21" s="5">
        <f t="shared" si="3"/>
        <v>2.6211072026245841E-2</v>
      </c>
    </row>
    <row r="22" spans="2:11" ht="21" customHeight="1" x14ac:dyDescent="0.25">
      <c r="B22" s="2">
        <v>21</v>
      </c>
      <c r="C22" s="3">
        <f t="shared" si="0"/>
        <v>81.428571428571431</v>
      </c>
      <c r="D22" s="4">
        <f t="shared" si="4"/>
        <v>6.7095061398083997</v>
      </c>
      <c r="E22" s="2">
        <v>1</v>
      </c>
      <c r="F22" s="4">
        <f t="shared" si="1"/>
        <v>7.7095061398083997</v>
      </c>
      <c r="G22" s="4">
        <f t="shared" si="11"/>
        <v>0.12970999463071345</v>
      </c>
      <c r="H22" s="4">
        <f t="shared" si="2"/>
        <v>125.66370614359172</v>
      </c>
      <c r="I22" s="4">
        <f t="shared" si="12"/>
        <v>48.440255703254948</v>
      </c>
      <c r="J22" s="4">
        <f t="shared" si="13"/>
        <v>2.5941998926142693</v>
      </c>
      <c r="K22" s="5">
        <f t="shared" si="3"/>
        <v>2.4011156790846755E-2</v>
      </c>
    </row>
    <row r="23" spans="2:11" ht="21" customHeight="1" x14ac:dyDescent="0.25">
      <c r="B23" s="2">
        <v>22</v>
      </c>
      <c r="C23" s="3">
        <f t="shared" si="0"/>
        <v>81.818181818181813</v>
      </c>
      <c r="D23" s="4">
        <f t="shared" si="4"/>
        <v>7.0266741833322603</v>
      </c>
      <c r="E23" s="2">
        <v>1</v>
      </c>
      <c r="F23" s="4">
        <f t="shared" si="1"/>
        <v>8.0266741833322612</v>
      </c>
      <c r="G23" s="4">
        <f t="shared" si="11"/>
        <v>0.12458460093927116</v>
      </c>
      <c r="H23" s="4">
        <f t="shared" si="2"/>
        <v>131.94689145077132</v>
      </c>
      <c r="I23" s="4">
        <f t="shared" si="12"/>
        <v>50.433081294230966</v>
      </c>
      <c r="J23" s="4">
        <f t="shared" si="13"/>
        <v>2.6162766197246947</v>
      </c>
      <c r="K23" s="5">
        <f t="shared" si="3"/>
        <v>2.2076727110425409E-2</v>
      </c>
    </row>
    <row r="24" spans="2:11" ht="21" customHeight="1" x14ac:dyDescent="0.25">
      <c r="B24" s="2">
        <v>23</v>
      </c>
      <c r="C24" s="3">
        <f t="shared" si="0"/>
        <v>82.173913043478265</v>
      </c>
      <c r="D24" s="4">
        <f t="shared" si="4"/>
        <v>7.343942196103912</v>
      </c>
      <c r="E24" s="2">
        <v>1</v>
      </c>
      <c r="F24" s="4">
        <f t="shared" si="1"/>
        <v>8.343942196103912</v>
      </c>
      <c r="G24" s="4">
        <f t="shared" si="11"/>
        <v>0.11984742661172031</v>
      </c>
      <c r="H24" s="4">
        <f t="shared" si="2"/>
        <v>138.23007675795091</v>
      </c>
      <c r="I24" s="4">
        <f t="shared" si="12"/>
        <v>52.42653501051587</v>
      </c>
      <c r="J24" s="4">
        <f t="shared" si="13"/>
        <v>2.6366433854578473</v>
      </c>
      <c r="K24" s="5">
        <f t="shared" si="3"/>
        <v>2.0366765733152548E-2</v>
      </c>
    </row>
    <row r="25" spans="2:11" ht="21" customHeight="1" x14ac:dyDescent="0.25">
      <c r="B25" s="2">
        <v>24</v>
      </c>
      <c r="C25" s="3">
        <f t="shared" si="0"/>
        <v>82.5</v>
      </c>
      <c r="D25" s="4">
        <f t="shared" si="4"/>
        <v>7.6612975755403818</v>
      </c>
      <c r="E25" s="2">
        <v>1</v>
      </c>
      <c r="F25" s="4">
        <f t="shared" si="1"/>
        <v>8.6612975755403809</v>
      </c>
      <c r="G25" s="4">
        <f t="shared" ref="G25:G26" si="14">E25/F25</f>
        <v>0.11545614167835698</v>
      </c>
      <c r="H25" s="4">
        <f t="shared" si="2"/>
        <v>144.5132620651305</v>
      </c>
      <c r="I25" s="4">
        <f t="shared" ref="I25:I26" si="15">2*PI()*F25</f>
        <v>54.420537667745492</v>
      </c>
      <c r="J25" s="4">
        <f t="shared" ref="J25:J26" si="16">H25/I25</f>
        <v>2.6554912586022108</v>
      </c>
      <c r="K25" s="5">
        <f t="shared" si="3"/>
        <v>1.8847873144363536E-2</v>
      </c>
    </row>
    <row r="26" spans="2:11" ht="21" customHeight="1" x14ac:dyDescent="0.25">
      <c r="B26" s="6">
        <v>25</v>
      </c>
      <c r="C26" s="7">
        <f t="shared" si="0"/>
        <v>82.8</v>
      </c>
      <c r="D26" s="8">
        <f t="shared" si="4"/>
        <v>7.9787297555594616</v>
      </c>
      <c r="E26" s="6">
        <v>1</v>
      </c>
      <c r="F26" s="8">
        <f t="shared" si="1"/>
        <v>8.9787297555594616</v>
      </c>
      <c r="G26" s="8">
        <f t="shared" si="14"/>
        <v>0.11137432879977467</v>
      </c>
      <c r="H26" s="8">
        <f t="shared" si="2"/>
        <v>150.79644737231007</v>
      </c>
      <c r="I26" s="8">
        <f t="shared" si="15"/>
        <v>56.415022877267369</v>
      </c>
      <c r="J26" s="8">
        <f t="shared" si="16"/>
        <v>2.6729838911945922</v>
      </c>
      <c r="K26" s="9">
        <f t="shared" si="3"/>
        <v>1.749263259238143E-2</v>
      </c>
    </row>
    <row r="29" spans="2:11" x14ac:dyDescent="0.25">
      <c r="B29" s="10" t="s">
        <v>8</v>
      </c>
      <c r="C29" s="10" t="s">
        <v>7</v>
      </c>
      <c r="D29" s="10" t="s">
        <v>0</v>
      </c>
      <c r="E29" s="10" t="s">
        <v>1</v>
      </c>
      <c r="F29" s="10" t="s">
        <v>6</v>
      </c>
      <c r="G29" s="10" t="s">
        <v>2</v>
      </c>
      <c r="H29" s="10" t="s">
        <v>3</v>
      </c>
      <c r="I29" s="10" t="s">
        <v>4</v>
      </c>
      <c r="J29" s="10" t="s">
        <v>5</v>
      </c>
      <c r="K29" s="10" t="s">
        <v>9</v>
      </c>
    </row>
    <row r="30" spans="2:11" x14ac:dyDescent="0.25">
      <c r="B30" s="2">
        <v>2</v>
      </c>
      <c r="C30" s="3">
        <f t="shared" ref="C30:C53" si="17">((B30-2)*90)/B30</f>
        <v>0</v>
      </c>
      <c r="D30" s="4">
        <v>25</v>
      </c>
      <c r="E30" s="4">
        <f>D30*G3</f>
        <v>12.5</v>
      </c>
      <c r="F30" s="4">
        <f>D30-E30</f>
        <v>12.5</v>
      </c>
      <c r="G30" s="4">
        <f>E30/D30</f>
        <v>0.5</v>
      </c>
      <c r="H30" s="4">
        <f>B30*((B30-1)/B30*2*PI()*E30)</f>
        <v>78.539816339744831</v>
      </c>
      <c r="I30" s="4">
        <f>2*PI()*D30</f>
        <v>157.07963267948966</v>
      </c>
      <c r="J30" s="4">
        <f>H30/I30</f>
        <v>0.5</v>
      </c>
      <c r="K30" s="2"/>
    </row>
    <row r="31" spans="2:11" x14ac:dyDescent="0.25">
      <c r="B31" s="2">
        <v>3</v>
      </c>
      <c r="C31" s="3">
        <f t="shared" si="17"/>
        <v>30</v>
      </c>
      <c r="D31" s="4">
        <v>25</v>
      </c>
      <c r="E31" s="4">
        <f t="shared" ref="E31:E53" si="18">D31*G4</f>
        <v>11.602540378443866</v>
      </c>
      <c r="F31" s="4">
        <f t="shared" ref="F31:F53" si="19">D31-E31</f>
        <v>13.397459621556134</v>
      </c>
      <c r="G31" s="4">
        <f t="shared" ref="G31:G53" si="20">E31/D31</f>
        <v>0.46410161513775461</v>
      </c>
      <c r="H31" s="4">
        <f t="shared" ref="H31:H53" si="21">B31*((B31-1)/B31*2*PI()*E31)</f>
        <v>145.80182246359274</v>
      </c>
      <c r="I31" s="4">
        <f t="shared" ref="I31:I53" si="22">2*PI()*D31</f>
        <v>157.07963267948966</v>
      </c>
      <c r="J31" s="4">
        <f>H31/I31</f>
        <v>0.92820323027550922</v>
      </c>
      <c r="K31" s="5">
        <f t="shared" ref="K31" si="23">J31-J30</f>
        <v>0.42820323027550922</v>
      </c>
    </row>
    <row r="32" spans="2:11" x14ac:dyDescent="0.25">
      <c r="B32" s="2">
        <v>4</v>
      </c>
      <c r="C32" s="3">
        <f t="shared" si="17"/>
        <v>45</v>
      </c>
      <c r="D32" s="4">
        <v>25</v>
      </c>
      <c r="E32" s="4">
        <f t="shared" si="18"/>
        <v>10.355339059327378</v>
      </c>
      <c r="F32" s="4">
        <f t="shared" si="19"/>
        <v>14.644660940672622</v>
      </c>
      <c r="G32" s="4">
        <f t="shared" si="20"/>
        <v>0.41421356237309509</v>
      </c>
      <c r="H32" s="4">
        <f t="shared" si="21"/>
        <v>195.19354268528596</v>
      </c>
      <c r="I32" s="4">
        <f t="shared" si="22"/>
        <v>157.07963267948966</v>
      </c>
      <c r="J32" s="4">
        <f t="shared" ref="J32:J53" si="24">H32/I32</f>
        <v>1.2426406871192852</v>
      </c>
      <c r="K32" s="5">
        <f>J32-J31</f>
        <v>0.314437456843776</v>
      </c>
    </row>
    <row r="33" spans="2:11" x14ac:dyDescent="0.25">
      <c r="B33" s="2">
        <v>5</v>
      </c>
      <c r="C33" s="3">
        <f t="shared" si="17"/>
        <v>54</v>
      </c>
      <c r="D33" s="4">
        <v>25</v>
      </c>
      <c r="E33" s="4">
        <f t="shared" si="18"/>
        <v>9.2547977039687535</v>
      </c>
      <c r="F33" s="4">
        <f t="shared" si="19"/>
        <v>15.745202296031247</v>
      </c>
      <c r="G33" s="4">
        <f t="shared" si="20"/>
        <v>0.37019190815875014</v>
      </c>
      <c r="H33" s="4">
        <f t="shared" si="21"/>
        <v>232.59843581798336</v>
      </c>
      <c r="I33" s="4">
        <f t="shared" si="22"/>
        <v>157.07963267948966</v>
      </c>
      <c r="J33" s="4">
        <f t="shared" si="24"/>
        <v>1.4807676326350003</v>
      </c>
      <c r="K33" s="5">
        <f t="shared" ref="K33:K53" si="25">J33-J32</f>
        <v>0.23812694551571512</v>
      </c>
    </row>
    <row r="34" spans="2:11" x14ac:dyDescent="0.25">
      <c r="B34" s="2">
        <v>6</v>
      </c>
      <c r="C34" s="3">
        <f t="shared" si="17"/>
        <v>60</v>
      </c>
      <c r="D34" s="4">
        <v>25</v>
      </c>
      <c r="E34" s="4">
        <f t="shared" si="18"/>
        <v>8.3333333333333339</v>
      </c>
      <c r="F34" s="4">
        <f t="shared" si="19"/>
        <v>16.666666666666664</v>
      </c>
      <c r="G34" s="4">
        <f t="shared" si="20"/>
        <v>0.33333333333333337</v>
      </c>
      <c r="H34" s="4">
        <f t="shared" si="21"/>
        <v>261.79938779914949</v>
      </c>
      <c r="I34" s="4">
        <f t="shared" si="22"/>
        <v>157.07963267948966</v>
      </c>
      <c r="J34" s="4">
        <f t="shared" si="24"/>
        <v>1.666666666666667</v>
      </c>
      <c r="K34" s="5">
        <f t="shared" si="25"/>
        <v>0.18589903403166663</v>
      </c>
    </row>
    <row r="35" spans="2:11" x14ac:dyDescent="0.25">
      <c r="B35" s="2">
        <v>7</v>
      </c>
      <c r="C35" s="3">
        <f t="shared" si="17"/>
        <v>64.285714285714292</v>
      </c>
      <c r="D35" s="4">
        <v>25</v>
      </c>
      <c r="E35" s="4">
        <f t="shared" si="18"/>
        <v>7.5648347087152832</v>
      </c>
      <c r="F35" s="4">
        <f t="shared" si="19"/>
        <v>17.435165291284719</v>
      </c>
      <c r="G35" s="4">
        <f t="shared" si="20"/>
        <v>0.30259338834861133</v>
      </c>
      <c r="H35" s="4">
        <f t="shared" si="21"/>
        <v>285.1875497582522</v>
      </c>
      <c r="I35" s="4">
        <f t="shared" si="22"/>
        <v>157.07963267948966</v>
      </c>
      <c r="J35" s="4">
        <f t="shared" si="24"/>
        <v>1.8155603300916678</v>
      </c>
      <c r="K35" s="5">
        <f t="shared" si="25"/>
        <v>0.14889366342500088</v>
      </c>
    </row>
    <row r="36" spans="2:11" x14ac:dyDescent="0.25">
      <c r="B36" s="2">
        <v>8</v>
      </c>
      <c r="C36" s="3">
        <f t="shared" si="17"/>
        <v>67.5</v>
      </c>
      <c r="D36" s="4">
        <v>25</v>
      </c>
      <c r="E36" s="4">
        <f t="shared" si="18"/>
        <v>6.9192163478538804</v>
      </c>
      <c r="F36" s="4">
        <f t="shared" si="19"/>
        <v>18.08078365214612</v>
      </c>
      <c r="G36" s="4">
        <f t="shared" si="20"/>
        <v>0.27676865391415523</v>
      </c>
      <c r="H36" s="4">
        <f t="shared" si="21"/>
        <v>304.32302945822607</v>
      </c>
      <c r="I36" s="4">
        <f t="shared" si="22"/>
        <v>157.07963267948966</v>
      </c>
      <c r="J36" s="4">
        <f t="shared" si="24"/>
        <v>1.9373805773990864</v>
      </c>
      <c r="K36" s="5">
        <f t="shared" si="25"/>
        <v>0.12182024730741858</v>
      </c>
    </row>
    <row r="37" spans="2:11" x14ac:dyDescent="0.25">
      <c r="B37" s="2">
        <v>9</v>
      </c>
      <c r="C37" s="3">
        <f t="shared" si="17"/>
        <v>70</v>
      </c>
      <c r="D37" s="4">
        <v>25</v>
      </c>
      <c r="E37" s="4">
        <f t="shared" si="18"/>
        <v>6.3713675429287244</v>
      </c>
      <c r="F37" s="4">
        <f t="shared" si="19"/>
        <v>18.628632457071276</v>
      </c>
      <c r="G37" s="4">
        <f t="shared" si="20"/>
        <v>0.25485470171714897</v>
      </c>
      <c r="H37" s="4">
        <f t="shared" si="21"/>
        <v>320.2598634589653</v>
      </c>
      <c r="I37" s="4">
        <f t="shared" si="22"/>
        <v>157.07963267948966</v>
      </c>
      <c r="J37" s="4">
        <f t="shared" si="24"/>
        <v>2.0388376137371917</v>
      </c>
      <c r="K37" s="5">
        <f t="shared" si="25"/>
        <v>0.10145703633810532</v>
      </c>
    </row>
    <row r="38" spans="2:11" x14ac:dyDescent="0.25">
      <c r="B38" s="2">
        <v>10</v>
      </c>
      <c r="C38" s="3">
        <f t="shared" si="17"/>
        <v>72</v>
      </c>
      <c r="D38" s="4">
        <v>25</v>
      </c>
      <c r="E38" s="4">
        <f t="shared" si="18"/>
        <v>5.9016994374947425</v>
      </c>
      <c r="F38" s="4">
        <f t="shared" si="19"/>
        <v>19.098300562505258</v>
      </c>
      <c r="G38" s="4">
        <f t="shared" si="20"/>
        <v>0.23606797749978969</v>
      </c>
      <c r="H38" s="4">
        <f t="shared" si="21"/>
        <v>333.73324073751297</v>
      </c>
      <c r="I38" s="4">
        <f t="shared" si="22"/>
        <v>157.07963267948966</v>
      </c>
      <c r="J38" s="4">
        <f t="shared" si="24"/>
        <v>2.1246117974981074</v>
      </c>
      <c r="K38" s="5">
        <f t="shared" si="25"/>
        <v>8.5774183760915612E-2</v>
      </c>
    </row>
    <row r="39" spans="2:11" x14ac:dyDescent="0.25">
      <c r="B39" s="2">
        <v>11</v>
      </c>
      <c r="C39" s="3">
        <f t="shared" si="17"/>
        <v>73.63636363636364</v>
      </c>
      <c r="D39" s="4">
        <v>25</v>
      </c>
      <c r="E39" s="4">
        <f t="shared" si="18"/>
        <v>5.4951509840653197</v>
      </c>
      <c r="F39" s="4">
        <f t="shared" si="19"/>
        <v>19.504849015934681</v>
      </c>
      <c r="G39" s="4">
        <f t="shared" si="20"/>
        <v>0.21980603936261278</v>
      </c>
      <c r="H39" s="4">
        <f t="shared" si="21"/>
        <v>345.27051923812655</v>
      </c>
      <c r="I39" s="4">
        <f t="shared" si="22"/>
        <v>157.07963267948966</v>
      </c>
      <c r="J39" s="4">
        <f t="shared" si="24"/>
        <v>2.1980603936261276</v>
      </c>
      <c r="K39" s="5">
        <f t="shared" si="25"/>
        <v>7.3448596128020238E-2</v>
      </c>
    </row>
    <row r="40" spans="2:11" x14ac:dyDescent="0.25">
      <c r="B40" s="2">
        <v>12</v>
      </c>
      <c r="C40" s="3">
        <f t="shared" si="17"/>
        <v>75</v>
      </c>
      <c r="D40" s="4">
        <v>25</v>
      </c>
      <c r="E40" s="4">
        <f t="shared" si="18"/>
        <v>5.1401161689892048</v>
      </c>
      <c r="F40" s="4">
        <f t="shared" si="19"/>
        <v>19.859883831010794</v>
      </c>
      <c r="G40" s="4">
        <f t="shared" si="20"/>
        <v>0.20560464675956819</v>
      </c>
      <c r="H40" s="4">
        <f t="shared" si="21"/>
        <v>355.25932629208114</v>
      </c>
      <c r="I40" s="4">
        <f t="shared" si="22"/>
        <v>157.07963267948966</v>
      </c>
      <c r="J40" s="4">
        <f t="shared" si="24"/>
        <v>2.2616511143552498</v>
      </c>
      <c r="K40" s="5">
        <f t="shared" si="25"/>
        <v>6.3590720729122197E-2</v>
      </c>
    </row>
    <row r="41" spans="2:11" x14ac:dyDescent="0.25">
      <c r="B41" s="2">
        <v>13</v>
      </c>
      <c r="C41" s="3">
        <f t="shared" si="17"/>
        <v>76.15384615384616</v>
      </c>
      <c r="D41" s="4">
        <v>25</v>
      </c>
      <c r="E41" s="4">
        <f t="shared" si="18"/>
        <v>4.8275768471209561</v>
      </c>
      <c r="F41" s="4">
        <f t="shared" si="19"/>
        <v>20.172423152879045</v>
      </c>
      <c r="G41" s="4">
        <f t="shared" si="20"/>
        <v>0.19310307388483824</v>
      </c>
      <c r="H41" s="4">
        <f t="shared" si="21"/>
        <v>363.99071898132894</v>
      </c>
      <c r="I41" s="4">
        <f t="shared" si="22"/>
        <v>157.07963267948966</v>
      </c>
      <c r="J41" s="4">
        <f t="shared" si="24"/>
        <v>2.3172368866180588</v>
      </c>
      <c r="K41" s="5">
        <f t="shared" si="25"/>
        <v>5.558577226280903E-2</v>
      </c>
    </row>
    <row r="42" spans="2:11" x14ac:dyDescent="0.25">
      <c r="B42" s="2">
        <v>14</v>
      </c>
      <c r="C42" s="3">
        <f t="shared" si="17"/>
        <v>77.142857142857139</v>
      </c>
      <c r="D42" s="4">
        <v>25</v>
      </c>
      <c r="E42" s="4">
        <f t="shared" si="18"/>
        <v>4.5504524253051768</v>
      </c>
      <c r="F42" s="4">
        <f t="shared" si="19"/>
        <v>20.449547574694822</v>
      </c>
      <c r="G42" s="4">
        <f t="shared" si="20"/>
        <v>0.18201809701220706</v>
      </c>
      <c r="H42" s="4">
        <f t="shared" si="21"/>
        <v>371.68736565606361</v>
      </c>
      <c r="I42" s="4">
        <f t="shared" si="22"/>
        <v>157.07963267948966</v>
      </c>
      <c r="J42" s="4">
        <f t="shared" si="24"/>
        <v>2.3662352611586916</v>
      </c>
      <c r="K42" s="5">
        <f t="shared" si="25"/>
        <v>4.8998374540632827E-2</v>
      </c>
    </row>
    <row r="43" spans="2:11" x14ac:dyDescent="0.25">
      <c r="B43" s="2">
        <v>15</v>
      </c>
      <c r="C43" s="3">
        <f t="shared" si="17"/>
        <v>78</v>
      </c>
      <c r="D43" s="4">
        <v>25</v>
      </c>
      <c r="E43" s="4">
        <f t="shared" si="18"/>
        <v>4.3031227447803424</v>
      </c>
      <c r="F43" s="4">
        <f t="shared" si="19"/>
        <v>20.696877255219658</v>
      </c>
      <c r="G43" s="4">
        <f t="shared" si="20"/>
        <v>0.1721249097912137</v>
      </c>
      <c r="H43" s="4">
        <f t="shared" si="21"/>
        <v>378.52244646991801</v>
      </c>
      <c r="I43" s="4">
        <f t="shared" si="22"/>
        <v>157.07963267948966</v>
      </c>
      <c r="J43" s="4">
        <f t="shared" si="24"/>
        <v>2.4097487370769919</v>
      </c>
      <c r="K43" s="5">
        <f t="shared" si="25"/>
        <v>4.3513475918300237E-2</v>
      </c>
    </row>
    <row r="44" spans="2:11" x14ac:dyDescent="0.25">
      <c r="B44" s="2">
        <v>16</v>
      </c>
      <c r="C44" s="3">
        <f t="shared" si="17"/>
        <v>78.75</v>
      </c>
      <c r="D44" s="4">
        <v>25</v>
      </c>
      <c r="E44" s="4">
        <f t="shared" si="18"/>
        <v>4.0810790285501009</v>
      </c>
      <c r="F44" s="4">
        <f t="shared" si="19"/>
        <v>20.9189209714499</v>
      </c>
      <c r="G44" s="4">
        <f t="shared" si="20"/>
        <v>0.16324316114200405</v>
      </c>
      <c r="H44" s="4">
        <f t="shared" si="21"/>
        <v>384.63263684437095</v>
      </c>
      <c r="I44" s="4">
        <f t="shared" si="22"/>
        <v>157.07963267948966</v>
      </c>
      <c r="J44" s="4">
        <f t="shared" si="24"/>
        <v>2.4486474171300601</v>
      </c>
      <c r="K44" s="5">
        <f t="shared" si="25"/>
        <v>3.889868005306818E-2</v>
      </c>
    </row>
    <row r="45" spans="2:11" x14ac:dyDescent="0.25">
      <c r="B45" s="2">
        <v>17</v>
      </c>
      <c r="C45" s="3">
        <f t="shared" si="17"/>
        <v>79.411764705882348</v>
      </c>
      <c r="D45" s="4">
        <v>25</v>
      </c>
      <c r="E45" s="4">
        <f t="shared" si="18"/>
        <v>3.880667215719273</v>
      </c>
      <c r="F45" s="4">
        <f t="shared" si="19"/>
        <v>21.119332784280726</v>
      </c>
      <c r="G45" s="4">
        <f t="shared" si="20"/>
        <v>0.15522668862877093</v>
      </c>
      <c r="H45" s="4">
        <f t="shared" si="21"/>
        <v>390.12721970977361</v>
      </c>
      <c r="I45" s="4">
        <f t="shared" si="22"/>
        <v>157.07963267948966</v>
      </c>
      <c r="J45" s="4">
        <f t="shared" si="24"/>
        <v>2.4836270180603348</v>
      </c>
      <c r="K45" s="5">
        <f t="shared" si="25"/>
        <v>3.4979600930274746E-2</v>
      </c>
    </row>
    <row r="46" spans="2:11" x14ac:dyDescent="0.25">
      <c r="B46" s="2">
        <v>18</v>
      </c>
      <c r="C46" s="3">
        <f t="shared" si="17"/>
        <v>80</v>
      </c>
      <c r="D46" s="4">
        <v>25</v>
      </c>
      <c r="E46" s="4">
        <f t="shared" si="18"/>
        <v>3.6988976119769097</v>
      </c>
      <c r="F46" s="4">
        <f t="shared" si="19"/>
        <v>21.301102388023089</v>
      </c>
      <c r="G46" s="4">
        <f t="shared" si="20"/>
        <v>0.14795590447907639</v>
      </c>
      <c r="H46" s="4">
        <f t="shared" si="21"/>
        <v>395.09460518169453</v>
      </c>
      <c r="I46" s="4">
        <f t="shared" si="22"/>
        <v>157.07963267948966</v>
      </c>
      <c r="J46" s="4">
        <f t="shared" si="24"/>
        <v>2.5152503761442979</v>
      </c>
      <c r="K46" s="5">
        <f t="shared" si="25"/>
        <v>3.1623358083963105E-2</v>
      </c>
    </row>
    <row r="47" spans="2:11" x14ac:dyDescent="0.25">
      <c r="B47" s="2">
        <v>19</v>
      </c>
      <c r="C47" s="3">
        <f t="shared" si="17"/>
        <v>80.526315789473685</v>
      </c>
      <c r="D47" s="4">
        <v>25</v>
      </c>
      <c r="E47" s="4">
        <f t="shared" si="18"/>
        <v>3.5333023108294124</v>
      </c>
      <c r="F47" s="4">
        <f t="shared" si="19"/>
        <v>21.466697689170587</v>
      </c>
      <c r="G47" s="4">
        <f t="shared" si="20"/>
        <v>0.14133209243317649</v>
      </c>
      <c r="H47" s="4">
        <f t="shared" si="21"/>
        <v>399.60707697408679</v>
      </c>
      <c r="I47" s="4">
        <f t="shared" si="22"/>
        <v>157.07963267948966</v>
      </c>
      <c r="J47" s="4">
        <f t="shared" si="24"/>
        <v>2.5439776637971767</v>
      </c>
      <c r="K47" s="5">
        <f t="shared" si="25"/>
        <v>2.8727287652878797E-2</v>
      </c>
    </row>
    <row r="48" spans="2:11" x14ac:dyDescent="0.25">
      <c r="B48" s="2">
        <v>20</v>
      </c>
      <c r="C48" s="3">
        <f t="shared" si="17"/>
        <v>81</v>
      </c>
      <c r="D48" s="4">
        <v>25</v>
      </c>
      <c r="E48" s="4">
        <f t="shared" si="18"/>
        <v>3.381827283978188</v>
      </c>
      <c r="F48" s="4">
        <f t="shared" si="19"/>
        <v>21.61817271602181</v>
      </c>
      <c r="G48" s="4">
        <f t="shared" si="20"/>
        <v>0.13527309135912752</v>
      </c>
      <c r="H48" s="4">
        <f t="shared" si="21"/>
        <v>403.72430254010516</v>
      </c>
      <c r="I48" s="4">
        <f t="shared" si="22"/>
        <v>157.07963267948966</v>
      </c>
      <c r="J48" s="4">
        <f t="shared" si="24"/>
        <v>2.570188735823423</v>
      </c>
      <c r="K48" s="5">
        <f t="shared" si="25"/>
        <v>2.6211072026246285E-2</v>
      </c>
    </row>
    <row r="49" spans="2:11" x14ac:dyDescent="0.25">
      <c r="B49" s="2">
        <v>21</v>
      </c>
      <c r="C49" s="3">
        <f t="shared" si="17"/>
        <v>81.428571428571431</v>
      </c>
      <c r="D49" s="4">
        <v>25</v>
      </c>
      <c r="E49" s="4">
        <f t="shared" si="18"/>
        <v>3.2427498657678364</v>
      </c>
      <c r="F49" s="4">
        <f t="shared" si="19"/>
        <v>21.757250134232162</v>
      </c>
      <c r="G49" s="4">
        <f t="shared" si="20"/>
        <v>0.12970999463071345</v>
      </c>
      <c r="H49" s="4">
        <f t="shared" si="21"/>
        <v>407.49596622902084</v>
      </c>
      <c r="I49" s="4">
        <f t="shared" si="22"/>
        <v>157.07963267948966</v>
      </c>
      <c r="J49" s="4">
        <f t="shared" si="24"/>
        <v>2.5941998926142684</v>
      </c>
      <c r="K49" s="5">
        <f t="shared" si="25"/>
        <v>2.4011156790845423E-2</v>
      </c>
    </row>
    <row r="50" spans="2:11" x14ac:dyDescent="0.25">
      <c r="B50" s="2">
        <v>22</v>
      </c>
      <c r="C50" s="3">
        <f t="shared" si="17"/>
        <v>81.818181818181813</v>
      </c>
      <c r="D50" s="4">
        <v>25</v>
      </c>
      <c r="E50" s="4">
        <f t="shared" si="18"/>
        <v>3.1146150234817793</v>
      </c>
      <c r="F50" s="4">
        <f t="shared" si="19"/>
        <v>21.885384976518221</v>
      </c>
      <c r="G50" s="4">
        <f t="shared" si="20"/>
        <v>0.12458460093927118</v>
      </c>
      <c r="H50" s="4">
        <f t="shared" si="21"/>
        <v>410.96377041429184</v>
      </c>
      <c r="I50" s="4">
        <f t="shared" si="22"/>
        <v>157.07963267948966</v>
      </c>
      <c r="J50" s="4">
        <f t="shared" si="24"/>
        <v>2.6162766197246943</v>
      </c>
      <c r="K50" s="5">
        <f t="shared" si="25"/>
        <v>2.2076727110425853E-2</v>
      </c>
    </row>
    <row r="51" spans="2:11" x14ac:dyDescent="0.25">
      <c r="B51" s="2">
        <v>23</v>
      </c>
      <c r="C51" s="3">
        <f t="shared" si="17"/>
        <v>82.173913043478265</v>
      </c>
      <c r="D51" s="4">
        <v>25</v>
      </c>
      <c r="E51" s="4">
        <f t="shared" si="18"/>
        <v>2.9961856652930074</v>
      </c>
      <c r="F51" s="4">
        <f t="shared" si="19"/>
        <v>22.003814334706991</v>
      </c>
      <c r="G51" s="4">
        <f t="shared" si="20"/>
        <v>0.11984742661172029</v>
      </c>
      <c r="H51" s="4">
        <f t="shared" si="21"/>
        <v>414.16297449452463</v>
      </c>
      <c r="I51" s="4">
        <f t="shared" si="22"/>
        <v>157.07963267948966</v>
      </c>
      <c r="J51" s="4">
        <f t="shared" si="24"/>
        <v>2.6366433854578468</v>
      </c>
      <c r="K51" s="5">
        <f t="shared" si="25"/>
        <v>2.0366765733152548E-2</v>
      </c>
    </row>
    <row r="52" spans="2:11" x14ac:dyDescent="0.25">
      <c r="B52" s="2">
        <v>24</v>
      </c>
      <c r="C52" s="3">
        <f t="shared" si="17"/>
        <v>82.5</v>
      </c>
      <c r="D52" s="4">
        <v>25</v>
      </c>
      <c r="E52" s="4">
        <f t="shared" si="18"/>
        <v>2.8864035419589245</v>
      </c>
      <c r="F52" s="4">
        <f t="shared" si="19"/>
        <v>22.113596458041076</v>
      </c>
      <c r="G52" s="4">
        <f t="shared" si="20"/>
        <v>0.11545614167835698</v>
      </c>
      <c r="H52" s="4">
        <f t="shared" si="21"/>
        <v>417.12359148483097</v>
      </c>
      <c r="I52" s="4">
        <f t="shared" si="22"/>
        <v>157.07963267948966</v>
      </c>
      <c r="J52" s="4">
        <f t="shared" si="24"/>
        <v>2.6554912586022108</v>
      </c>
      <c r="K52" s="5">
        <f t="shared" si="25"/>
        <v>1.884787314436398E-2</v>
      </c>
    </row>
    <row r="53" spans="2:11" x14ac:dyDescent="0.25">
      <c r="B53" s="6">
        <v>25</v>
      </c>
      <c r="C53" s="7">
        <f t="shared" si="17"/>
        <v>82.8</v>
      </c>
      <c r="D53" s="8">
        <v>25</v>
      </c>
      <c r="E53" s="8">
        <f t="shared" si="18"/>
        <v>2.7843582199943668</v>
      </c>
      <c r="F53" s="8">
        <f t="shared" si="19"/>
        <v>22.215641780005633</v>
      </c>
      <c r="G53" s="8">
        <f t="shared" si="20"/>
        <v>0.11137432879977467</v>
      </c>
      <c r="H53" s="8">
        <f t="shared" si="21"/>
        <v>419.87132778703949</v>
      </c>
      <c r="I53" s="8">
        <f t="shared" si="22"/>
        <v>157.07963267948966</v>
      </c>
      <c r="J53" s="8">
        <f t="shared" si="24"/>
        <v>2.6729838911945922</v>
      </c>
      <c r="K53" s="9">
        <f t="shared" si="25"/>
        <v>1.749263259238143E-2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rawr</dc:creator>
  <cp:lastModifiedBy>rawr</cp:lastModifiedBy>
  <dcterms:created xsi:type="dcterms:W3CDTF">2020-07-24T14:24:38Z</dcterms:created>
  <dcterms:modified xsi:type="dcterms:W3CDTF">2020-07-27T14:09:33Z</dcterms:modified>
</cp:coreProperties>
</file>