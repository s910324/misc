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wr\Desktop\"/>
    </mc:Choice>
  </mc:AlternateContent>
  <xr:revisionPtr revIDLastSave="0" documentId="13_ncr:1_{9404F3F4-6A38-4468-A2BB-A4C317AB12B8}" xr6:coauthVersionLast="45" xr6:coauthVersionMax="45" xr10:uidLastSave="{00000000-0000-0000-0000-000000000000}"/>
  <bookViews>
    <workbookView xWindow="-120" yWindow="-120" windowWidth="29040" windowHeight="15990" xr2:uid="{75E3FA8A-BE1E-4DE8-97A9-88D44DFDF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12" i="1"/>
  <c r="F7" i="1"/>
  <c r="F8" i="1"/>
  <c r="F10" i="1"/>
  <c r="E7" i="1"/>
  <c r="E8" i="1"/>
  <c r="E9" i="1"/>
  <c r="F9" i="1" s="1"/>
  <c r="E10" i="1"/>
  <c r="E11" i="1"/>
  <c r="F11" i="1" s="1"/>
  <c r="M10" i="1"/>
  <c r="M12" i="1"/>
  <c r="M13" i="1"/>
  <c r="J7" i="1"/>
  <c r="M7" i="1" s="1"/>
  <c r="J8" i="1"/>
  <c r="J9" i="1"/>
  <c r="M9" i="1" s="1"/>
  <c r="J10" i="1"/>
  <c r="J11" i="1"/>
  <c r="M11" i="1" s="1"/>
  <c r="L13" i="1" l="1"/>
  <c r="J12" i="1"/>
  <c r="J13" i="1"/>
  <c r="E12" i="1"/>
  <c r="F12" i="1" s="1"/>
  <c r="E13" i="1"/>
  <c r="F13" i="1" s="1"/>
  <c r="E22" i="1" l="1"/>
  <c r="F22" i="1" s="1"/>
  <c r="J22" i="1"/>
  <c r="M22" i="1" s="1"/>
  <c r="L22" i="1"/>
  <c r="L14" i="1"/>
  <c r="L15" i="1"/>
  <c r="L16" i="1"/>
  <c r="L17" i="1"/>
  <c r="L18" i="1"/>
  <c r="L19" i="1"/>
  <c r="L20" i="1"/>
  <c r="L21" i="1"/>
  <c r="L23" i="1"/>
  <c r="L24" i="1"/>
  <c r="L25" i="1"/>
  <c r="L26" i="1"/>
  <c r="L27" i="1"/>
  <c r="L28" i="1"/>
  <c r="L29" i="1"/>
  <c r="L30" i="1"/>
  <c r="M8" i="1"/>
  <c r="J14" i="1"/>
  <c r="M14" i="1" s="1"/>
  <c r="J15" i="1"/>
  <c r="M15" i="1" s="1"/>
  <c r="J16" i="1"/>
  <c r="M16" i="1" s="1"/>
  <c r="J17" i="1"/>
  <c r="M17" i="1" s="1"/>
  <c r="J18" i="1"/>
  <c r="M18" i="1" s="1"/>
  <c r="J19" i="1"/>
  <c r="M19" i="1" s="1"/>
  <c r="J20" i="1"/>
  <c r="M20" i="1" s="1"/>
  <c r="J21" i="1"/>
  <c r="M21" i="1" s="1"/>
  <c r="J23" i="1"/>
  <c r="M23" i="1" s="1"/>
  <c r="J24" i="1"/>
  <c r="M24" i="1" s="1"/>
  <c r="J25" i="1"/>
  <c r="M25" i="1" s="1"/>
  <c r="J26" i="1"/>
  <c r="M26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/>
  <c r="E21" i="1"/>
  <c r="F21" i="1" s="1"/>
  <c r="E23" i="1"/>
  <c r="F23" i="1" s="1"/>
  <c r="E24" i="1"/>
  <c r="F24" i="1" s="1"/>
  <c r="E25" i="1"/>
  <c r="F25" i="1" s="1"/>
  <c r="E26" i="1"/>
  <c r="F26" i="1" s="1"/>
  <c r="J27" i="1"/>
  <c r="M27" i="1" s="1"/>
  <c r="J28" i="1"/>
  <c r="M28" i="1" s="1"/>
  <c r="J29" i="1"/>
  <c r="M29" i="1" s="1"/>
  <c r="J30" i="1"/>
  <c r="E27" i="1"/>
  <c r="F27" i="1" s="1"/>
  <c r="E28" i="1"/>
  <c r="F28" i="1" s="1"/>
  <c r="E29" i="1"/>
  <c r="F29" i="1" s="1"/>
  <c r="E30" i="1"/>
  <c r="M30" i="1"/>
  <c r="F30" i="1" l="1"/>
  <c r="I30" i="1" s="1"/>
  <c r="I8" i="1"/>
  <c r="I29" i="1"/>
  <c r="I28" i="1"/>
  <c r="I27" i="1"/>
  <c r="I23" i="1"/>
  <c r="I18" i="1"/>
</calcChain>
</file>

<file path=xl/sharedStrings.xml><?xml version="1.0" encoding="utf-8"?>
<sst xmlns="http://schemas.openxmlformats.org/spreadsheetml/2006/main" count="9" uniqueCount="7">
  <si>
    <t>r</t>
    <phoneticPr fontId="1" type="noConversion"/>
  </si>
  <si>
    <t>h</t>
    <phoneticPr fontId="1" type="noConversion"/>
  </si>
  <si>
    <t>R</t>
    <phoneticPr fontId="1" type="noConversion"/>
  </si>
  <si>
    <t>CAD</t>
    <phoneticPr fontId="1" type="noConversion"/>
  </si>
  <si>
    <t>t</t>
    <phoneticPr fontId="1" type="noConversion"/>
  </si>
  <si>
    <t>c</t>
    <phoneticPr fontId="1" type="noConversion"/>
  </si>
  <si>
    <t>Calc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</si>
</sst>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908573928258968E-2"/>
                  <c:y val="6.74499854184893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Sheet1!$L$7:$L$30</c:f>
              <c:numCache>
                <c:formatCode>General</c:formatCode>
                <c:ptCount val="16"/>
                <c:pt idx="0">
                  <c:v>32</c:v>
                </c:pt>
                <c:pt idx="1">
                  <c:v>30</c:v>
                </c:pt>
                <c:pt idx="2">
                  <c:v>28</c:v>
                </c:pt>
                <c:pt idx="3">
                  <c:v>26</c:v>
                </c:pt>
                <c:pt idx="4">
                  <c:v>24</c:v>
                </c:pt>
                <c:pt idx="5">
                  <c:v>22</c:v>
                </c:pt>
                <c:pt idx="6">
                  <c:v>20</c:v>
                </c:pt>
                <c:pt idx="7">
                  <c:v>18</c:v>
                </c:pt>
                <c:pt idx="8">
                  <c:v>16</c:v>
                </c:pt>
                <c:pt idx="9">
                  <c:v>14</c:v>
                </c:pt>
                <c:pt idx="10">
                  <c:v>12</c:v>
                </c:pt>
                <c:pt idx="11">
                  <c:v>10</c:v>
                </c:pt>
                <c:pt idx="12">
                  <c:v>8</c:v>
                </c:pt>
                <c:pt idx="13">
                  <c:v>6</c:v>
                </c:pt>
                <c:pt idx="14">
                  <c:v>4</c:v>
                </c:pt>
                <c:pt idx="15">
                  <c:v>2</c:v>
                </c:pt>
              </c:numCache>
            </c:numRef>
          </c:xVal>
          <c:yVal>
            <c:numRef>
              <c:f>Sheet1!$M$7:$M$30</c:f>
              <c:numCache>
                <c:formatCode>General</c:formatCode>
                <c:ptCount val="16"/>
                <c:pt idx="0">
                  <c:v>1.1141592055228418</c:v>
                </c:pt>
                <c:pt idx="1">
                  <c:v>1.1426980078288054</c:v>
                </c:pt>
                <c:pt idx="2">
                  <c:v>1.1712382785285893</c:v>
                </c:pt>
                <c:pt idx="3">
                  <c:v>1.199777295810323</c:v>
                </c:pt>
                <c:pt idx="4">
                  <c:v>1.2283180620474754</c:v>
                </c:pt>
                <c:pt idx="5">
                  <c:v>1.25685743707009</c:v>
                </c:pt>
                <c:pt idx="6">
                  <c:v>1.2853989823873835</c:v>
                </c:pt>
                <c:pt idx="7">
                  <c:v>1.3139390004602736</c:v>
                </c:pt>
                <c:pt idx="8">
                  <c:v>1.3424769185721088</c:v>
                </c:pt>
                <c:pt idx="9">
                  <c:v>1.3710175208446909</c:v>
                </c:pt>
                <c:pt idx="10">
                  <c:v>1.3995555179024304</c:v>
                </c:pt>
                <c:pt idx="11">
                  <c:v>1.4280973043635767</c:v>
                </c:pt>
                <c:pt idx="12">
                  <c:v>1.4566357750967422</c:v>
                </c:pt>
                <c:pt idx="13">
                  <c:v>1.4851808772858701</c:v>
                </c:pt>
                <c:pt idx="14">
                  <c:v>1.5137226637470167</c:v>
                </c:pt>
                <c:pt idx="15">
                  <c:v>1.542251187296239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A9-49DA-8DD1-EC2FF3E2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587663"/>
        <c:axId val="550245375"/>
      </c:scatterChart>
      <c:valAx>
        <c:axId val="23358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0245375"/>
        <c:crosses val="autoZero"/>
        <c:crossBetween val="midCat"/>
      </c:valAx>
      <c:valAx>
        <c:axId val="55024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358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219075</xdr:colOff>
      <xdr:row>3</xdr:row>
      <xdr:rowOff>138112</xdr:rowOff>
    </xdr:from>
    <xdr:to>
      <xdr:col>22</xdr:col>
      <xdr:colOff>523875</xdr:colOff>
      <xdr:row>34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D21C3B-9A6D-493A-8F15-0A4D58C75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22AF-4FD6-4524-A31D-70A55F6397B4}">
  <dimension ref="D5:M30"/>
  <sheetViews>
    <sheetView tabSelected="1" topLeftCell="C1" workbookViewId="0">
      <selection activeCell="F36" sqref="F36"/>
    </sheetView>
  </sheetViews>
  <sheetFormatPr defaultRowHeight="15.75" x14ac:dyDescent="0.25"/>
  <sheetData>
    <row r="5" spans="4:13" x14ac:dyDescent="0.25">
      <c r="G5" s="5" t="s">
        <v>3</v>
      </c>
      <c r="H5" s="5"/>
      <c r="I5" s="5" t="s">
        <v>6</v>
      </c>
      <c r="J5" s="5"/>
    </row>
    <row r="6" spans="4:13" x14ac:dyDescent="0.25">
      <c r="D6" s="1" t="s">
        <v>1</v>
      </c>
      <c r="E6" s="1" t="s">
        <v>0</v>
      </c>
      <c r="F6" s="1" t="s">
        <v>2</v>
      </c>
      <c r="G6" s="1" t="s">
        <v>4</v>
      </c>
      <c r="H6" s="1" t="s">
        <v>5</v>
      </c>
      <c r="I6" s="1" t="s">
        <v>4</v>
      </c>
      <c r="J6" s="1" t="s">
        <v>5</v>
      </c>
    </row>
    <row r="7" spans="4:13" hidden="1" x14ac:dyDescent="0.25">
      <c r="D7" s="4">
        <v>33</v>
      </c>
      <c r="E7" s="2">
        <f t="shared" ref="E7:E29" si="0">D7/2</f>
        <v>16.5</v>
      </c>
      <c r="F7" s="2">
        <f t="shared" ref="F7:F29" si="1">20-E7</f>
        <v>3.5</v>
      </c>
      <c r="G7" s="4">
        <v>4561.13</v>
      </c>
      <c r="H7" s="4"/>
      <c r="I7" s="4"/>
      <c r="J7" s="4">
        <f t="shared" ref="J7:J29" si="2">2*PI()*20*D7</f>
        <v>4146.9023027385265</v>
      </c>
      <c r="L7">
        <f t="shared" ref="L7" si="3">D7</f>
        <v>33</v>
      </c>
      <c r="M7">
        <f t="shared" ref="M7" si="4">G7/J7</f>
        <v>1.0998884630071768</v>
      </c>
    </row>
    <row r="8" spans="4:13" x14ac:dyDescent="0.25">
      <c r="D8" s="1">
        <v>32</v>
      </c>
      <c r="E8" s="2">
        <f t="shared" si="0"/>
        <v>16</v>
      </c>
      <c r="F8" s="2">
        <f t="shared" si="1"/>
        <v>4</v>
      </c>
      <c r="G8" s="1">
        <v>4480.3</v>
      </c>
      <c r="H8" s="1">
        <v>4021.24</v>
      </c>
      <c r="I8" s="1">
        <f>4*PI()*PI()*E8*F8/2</f>
        <v>1263.3093633394378</v>
      </c>
      <c r="J8" s="4">
        <f t="shared" si="2"/>
        <v>4021.2385965949352</v>
      </c>
      <c r="L8">
        <f t="shared" ref="L8:L13" si="5">D8</f>
        <v>32</v>
      </c>
      <c r="M8">
        <f t="shared" ref="M8:M28" si="6">G8/J8</f>
        <v>1.1141592055228418</v>
      </c>
    </row>
    <row r="9" spans="4:13" hidden="1" x14ac:dyDescent="0.25">
      <c r="D9" s="4">
        <v>31</v>
      </c>
      <c r="E9" s="2">
        <f t="shared" si="0"/>
        <v>15.5</v>
      </c>
      <c r="F9" s="2">
        <f t="shared" si="1"/>
        <v>4.5</v>
      </c>
      <c r="G9" s="4">
        <v>4395.88</v>
      </c>
      <c r="H9" s="4"/>
      <c r="I9" s="4"/>
      <c r="J9" s="4">
        <f t="shared" si="2"/>
        <v>3895.5748904513434</v>
      </c>
      <c r="L9">
        <f t="shared" si="5"/>
        <v>31</v>
      </c>
      <c r="M9">
        <f t="shared" si="6"/>
        <v>1.1284290826432273</v>
      </c>
    </row>
    <row r="10" spans="4:13" x14ac:dyDescent="0.25">
      <c r="D10" s="3">
        <v>30</v>
      </c>
      <c r="E10" s="2">
        <f t="shared" si="0"/>
        <v>15</v>
      </c>
      <c r="F10" s="2">
        <f t="shared" si="1"/>
        <v>5</v>
      </c>
      <c r="G10" s="3">
        <v>4307.87</v>
      </c>
      <c r="H10" s="3"/>
      <c r="I10" s="3"/>
      <c r="J10" s="4">
        <f t="shared" si="2"/>
        <v>3769.9111843077517</v>
      </c>
      <c r="L10">
        <f t="shared" si="5"/>
        <v>30</v>
      </c>
      <c r="M10">
        <f t="shared" si="6"/>
        <v>1.1426980078288054</v>
      </c>
    </row>
    <row r="11" spans="4:13" hidden="1" x14ac:dyDescent="0.25">
      <c r="D11" s="4">
        <v>29</v>
      </c>
      <c r="E11" s="2">
        <f t="shared" si="0"/>
        <v>14.5</v>
      </c>
      <c r="F11" s="2">
        <f t="shared" si="1"/>
        <v>5.5</v>
      </c>
      <c r="G11" s="4">
        <v>4216</v>
      </c>
      <c r="H11" s="4"/>
      <c r="I11" s="4"/>
      <c r="J11" s="4">
        <f t="shared" si="2"/>
        <v>3644.2474781641599</v>
      </c>
      <c r="L11">
        <f t="shared" si="5"/>
        <v>29</v>
      </c>
      <c r="M11">
        <f t="shared" si="6"/>
        <v>1.1568917932335014</v>
      </c>
    </row>
    <row r="12" spans="4:13" x14ac:dyDescent="0.25">
      <c r="D12" s="3">
        <v>28</v>
      </c>
      <c r="E12" s="2">
        <f t="shared" si="0"/>
        <v>14</v>
      </c>
      <c r="F12" s="2">
        <f t="shared" si="1"/>
        <v>6</v>
      </c>
      <c r="G12" s="3">
        <v>4121.1000000000004</v>
      </c>
      <c r="H12" s="3"/>
      <c r="I12" s="3"/>
      <c r="J12" s="3">
        <f t="shared" si="2"/>
        <v>3518.5837720205682</v>
      </c>
      <c r="L12">
        <f t="shared" si="5"/>
        <v>28</v>
      </c>
      <c r="M12">
        <f t="shared" si="6"/>
        <v>1.1712382785285893</v>
      </c>
    </row>
    <row r="13" spans="4:13" x14ac:dyDescent="0.25">
      <c r="D13" s="3">
        <v>26</v>
      </c>
      <c r="E13" s="2">
        <f t="shared" si="0"/>
        <v>13</v>
      </c>
      <c r="F13" s="2">
        <f t="shared" si="1"/>
        <v>7</v>
      </c>
      <c r="G13" s="3">
        <v>3919.98</v>
      </c>
      <c r="H13" s="3"/>
      <c r="I13" s="3"/>
      <c r="J13" s="3">
        <f t="shared" si="2"/>
        <v>3267.2563597333847</v>
      </c>
      <c r="L13">
        <f t="shared" si="5"/>
        <v>26</v>
      </c>
      <c r="M13">
        <f t="shared" si="6"/>
        <v>1.199777295810323</v>
      </c>
    </row>
    <row r="14" spans="4:13" x14ac:dyDescent="0.25">
      <c r="D14" s="1">
        <v>24</v>
      </c>
      <c r="E14" s="2">
        <f t="shared" si="0"/>
        <v>12</v>
      </c>
      <c r="F14" s="2">
        <f t="shared" si="1"/>
        <v>8</v>
      </c>
      <c r="G14" s="1">
        <v>3704.52</v>
      </c>
      <c r="H14" s="1"/>
      <c r="I14" s="1"/>
      <c r="J14" s="1">
        <f t="shared" si="2"/>
        <v>3015.9289474462012</v>
      </c>
      <c r="L14">
        <f t="shared" ref="L14:L29" si="7">D14</f>
        <v>24</v>
      </c>
      <c r="M14">
        <f t="shared" si="6"/>
        <v>1.2283180620474754</v>
      </c>
    </row>
    <row r="15" spans="4:13" x14ac:dyDescent="0.25">
      <c r="D15" s="1">
        <v>22</v>
      </c>
      <c r="E15" s="2">
        <f t="shared" si="0"/>
        <v>11</v>
      </c>
      <c r="F15" s="2">
        <f t="shared" si="1"/>
        <v>9</v>
      </c>
      <c r="G15" s="1">
        <v>3474.71</v>
      </c>
      <c r="H15" s="1"/>
      <c r="I15" s="1"/>
      <c r="J15" s="1">
        <f t="shared" si="2"/>
        <v>2764.6015351590181</v>
      </c>
      <c r="L15">
        <f t="shared" si="7"/>
        <v>22</v>
      </c>
      <c r="M15">
        <f t="shared" si="6"/>
        <v>1.25685743707009</v>
      </c>
    </row>
    <row r="16" spans="4:13" x14ac:dyDescent="0.25">
      <c r="D16" s="1">
        <v>20</v>
      </c>
      <c r="E16" s="2">
        <f t="shared" si="0"/>
        <v>10</v>
      </c>
      <c r="F16" s="2">
        <f t="shared" si="1"/>
        <v>10</v>
      </c>
      <c r="G16" s="1">
        <v>3230.56</v>
      </c>
      <c r="H16" s="1"/>
      <c r="I16" s="1"/>
      <c r="J16" s="1">
        <f t="shared" si="2"/>
        <v>2513.2741228718346</v>
      </c>
      <c r="L16">
        <f t="shared" si="7"/>
        <v>20</v>
      </c>
      <c r="M16">
        <f t="shared" si="6"/>
        <v>1.2853989823873835</v>
      </c>
    </row>
    <row r="17" spans="4:13" x14ac:dyDescent="0.25">
      <c r="D17" s="1">
        <v>18</v>
      </c>
      <c r="E17" s="2">
        <f t="shared" si="0"/>
        <v>9</v>
      </c>
      <c r="F17" s="2">
        <f t="shared" si="1"/>
        <v>11</v>
      </c>
      <c r="G17" s="1">
        <v>2972.06</v>
      </c>
      <c r="H17" s="1"/>
      <c r="I17" s="1"/>
      <c r="J17" s="1">
        <f t="shared" si="2"/>
        <v>2261.9467105846511</v>
      </c>
      <c r="L17">
        <f t="shared" si="7"/>
        <v>18</v>
      </c>
      <c r="M17">
        <f t="shared" si="6"/>
        <v>1.3139390004602736</v>
      </c>
    </row>
    <row r="18" spans="4:13" x14ac:dyDescent="0.25">
      <c r="D18" s="1">
        <v>16</v>
      </c>
      <c r="E18" s="2">
        <f t="shared" si="0"/>
        <v>8</v>
      </c>
      <c r="F18" s="2">
        <f t="shared" si="1"/>
        <v>12</v>
      </c>
      <c r="G18" s="1">
        <v>2699.21</v>
      </c>
      <c r="H18" s="1">
        <v>2010.62</v>
      </c>
      <c r="I18" s="1">
        <f t="shared" ref="I18:I29" si="8">4*PI()*PI()*E18*F18/2</f>
        <v>1894.9640450091567</v>
      </c>
      <c r="J18" s="1">
        <f t="shared" si="2"/>
        <v>2010.6192982974676</v>
      </c>
      <c r="L18">
        <f t="shared" si="7"/>
        <v>16</v>
      </c>
      <c r="M18">
        <f t="shared" si="6"/>
        <v>1.3424769185721088</v>
      </c>
    </row>
    <row r="19" spans="4:13" x14ac:dyDescent="0.25">
      <c r="D19" s="1">
        <v>14</v>
      </c>
      <c r="E19" s="2">
        <f t="shared" si="0"/>
        <v>7</v>
      </c>
      <c r="F19" s="2">
        <f t="shared" si="1"/>
        <v>13</v>
      </c>
      <c r="G19" s="1">
        <v>2412.02</v>
      </c>
      <c r="H19" s="1"/>
      <c r="I19" s="1"/>
      <c r="J19" s="1">
        <f t="shared" si="2"/>
        <v>1759.2918860102841</v>
      </c>
      <c r="L19">
        <f t="shared" si="7"/>
        <v>14</v>
      </c>
      <c r="M19">
        <f t="shared" si="6"/>
        <v>1.3710175208446909</v>
      </c>
    </row>
    <row r="20" spans="4:13" x14ac:dyDescent="0.25">
      <c r="D20" s="1">
        <v>12</v>
      </c>
      <c r="E20" s="2">
        <f t="shared" si="0"/>
        <v>6</v>
      </c>
      <c r="F20" s="2">
        <f t="shared" si="1"/>
        <v>14</v>
      </c>
      <c r="G20" s="1">
        <v>2110.48</v>
      </c>
      <c r="H20" s="1"/>
      <c r="I20" s="1"/>
      <c r="J20" s="1">
        <f t="shared" si="2"/>
        <v>1507.9644737231006</v>
      </c>
      <c r="L20">
        <f t="shared" si="7"/>
        <v>12</v>
      </c>
      <c r="M20">
        <f t="shared" si="6"/>
        <v>1.3995555179024304</v>
      </c>
    </row>
    <row r="21" spans="4:13" x14ac:dyDescent="0.25">
      <c r="D21" s="1">
        <v>10</v>
      </c>
      <c r="E21" s="2">
        <f t="shared" si="0"/>
        <v>5</v>
      </c>
      <c r="F21" s="2">
        <f t="shared" si="1"/>
        <v>15</v>
      </c>
      <c r="G21" s="1">
        <v>1794.6</v>
      </c>
      <c r="H21" s="1"/>
      <c r="I21" s="1"/>
      <c r="J21" s="1">
        <f t="shared" si="2"/>
        <v>1256.6370614359173</v>
      </c>
      <c r="L21">
        <f t="shared" si="7"/>
        <v>10</v>
      </c>
      <c r="M21">
        <f t="shared" si="6"/>
        <v>1.4280973043635767</v>
      </c>
    </row>
    <row r="22" spans="4:13" hidden="1" x14ac:dyDescent="0.25">
      <c r="D22" s="1">
        <v>9</v>
      </c>
      <c r="E22" s="2">
        <f t="shared" si="0"/>
        <v>4.5</v>
      </c>
      <c r="F22" s="2">
        <f t="shared" si="1"/>
        <v>15.5</v>
      </c>
      <c r="G22" s="1">
        <v>1631.28</v>
      </c>
      <c r="H22" s="1"/>
      <c r="I22" s="1"/>
      <c r="J22" s="1">
        <f t="shared" si="2"/>
        <v>1130.9733552923256</v>
      </c>
      <c r="L22">
        <f t="shared" si="7"/>
        <v>9</v>
      </c>
      <c r="M22">
        <f t="shared" si="6"/>
        <v>1.44236819759415</v>
      </c>
    </row>
    <row r="23" spans="4:13" x14ac:dyDescent="0.25">
      <c r="D23" s="1">
        <v>8</v>
      </c>
      <c r="E23" s="2">
        <f t="shared" si="0"/>
        <v>4</v>
      </c>
      <c r="F23" s="2">
        <f t="shared" si="1"/>
        <v>16</v>
      </c>
      <c r="G23" s="1">
        <v>1464.37</v>
      </c>
      <c r="H23" s="1">
        <v>1005.31</v>
      </c>
      <c r="I23" s="1">
        <f t="shared" si="8"/>
        <v>1263.3093633394378</v>
      </c>
      <c r="J23" s="1">
        <f t="shared" si="2"/>
        <v>1005.3096491487338</v>
      </c>
      <c r="L23">
        <f t="shared" si="7"/>
        <v>8</v>
      </c>
      <c r="M23">
        <f t="shared" si="6"/>
        <v>1.4566357750967422</v>
      </c>
    </row>
    <row r="24" spans="4:13" hidden="1" x14ac:dyDescent="0.25">
      <c r="D24" s="1">
        <v>7</v>
      </c>
      <c r="E24" s="2">
        <f t="shared" si="0"/>
        <v>3.5</v>
      </c>
      <c r="F24" s="2">
        <f t="shared" si="1"/>
        <v>16.5</v>
      </c>
      <c r="G24" s="1">
        <v>1293.8800000000001</v>
      </c>
      <c r="H24" s="1"/>
      <c r="I24" s="1"/>
      <c r="J24" s="1">
        <f t="shared" si="2"/>
        <v>879.64594300514204</v>
      </c>
      <c r="L24">
        <f t="shared" si="7"/>
        <v>7</v>
      </c>
      <c r="M24">
        <f t="shared" si="6"/>
        <v>1.4709099840552968</v>
      </c>
    </row>
    <row r="25" spans="4:13" x14ac:dyDescent="0.25">
      <c r="D25" s="1">
        <v>6</v>
      </c>
      <c r="E25" s="2">
        <f t="shared" si="0"/>
        <v>3</v>
      </c>
      <c r="F25" s="2">
        <f t="shared" si="1"/>
        <v>17</v>
      </c>
      <c r="G25" s="1">
        <v>1119.8</v>
      </c>
      <c r="H25" s="1"/>
      <c r="I25" s="1"/>
      <c r="J25" s="1">
        <f t="shared" si="2"/>
        <v>753.98223686155029</v>
      </c>
      <c r="L25">
        <f t="shared" si="7"/>
        <v>6</v>
      </c>
      <c r="M25">
        <f t="shared" si="6"/>
        <v>1.4851808772858701</v>
      </c>
    </row>
    <row r="26" spans="4:13" hidden="1" x14ac:dyDescent="0.25">
      <c r="D26" s="1">
        <v>5</v>
      </c>
      <c r="E26" s="2">
        <f t="shared" si="0"/>
        <v>2.5</v>
      </c>
      <c r="F26" s="2">
        <f t="shared" si="1"/>
        <v>17.5</v>
      </c>
      <c r="G26" s="1">
        <v>942.13</v>
      </c>
      <c r="H26" s="1"/>
      <c r="I26" s="1"/>
      <c r="J26" s="1">
        <f t="shared" si="2"/>
        <v>628.31853071795865</v>
      </c>
      <c r="L26">
        <f t="shared" si="7"/>
        <v>5</v>
      </c>
      <c r="M26">
        <f t="shared" si="6"/>
        <v>1.4994464653516735</v>
      </c>
    </row>
    <row r="27" spans="4:13" x14ac:dyDescent="0.25">
      <c r="D27" s="1">
        <v>4</v>
      </c>
      <c r="E27" s="2">
        <f t="shared" si="0"/>
        <v>2</v>
      </c>
      <c r="F27" s="2">
        <f t="shared" si="1"/>
        <v>18</v>
      </c>
      <c r="G27" s="1">
        <v>760.88</v>
      </c>
      <c r="H27" s="1">
        <v>502.65</v>
      </c>
      <c r="I27" s="1">
        <f t="shared" si="8"/>
        <v>710.6115168784338</v>
      </c>
      <c r="J27" s="1">
        <f t="shared" si="2"/>
        <v>502.6548245743669</v>
      </c>
      <c r="L27">
        <f t="shared" si="7"/>
        <v>4</v>
      </c>
      <c r="M27">
        <f t="shared" si="6"/>
        <v>1.5137226637470167</v>
      </c>
    </row>
    <row r="28" spans="4:13" hidden="1" x14ac:dyDescent="0.25">
      <c r="D28" s="1">
        <v>3</v>
      </c>
      <c r="E28" s="2">
        <f t="shared" si="0"/>
        <v>1.5</v>
      </c>
      <c r="F28" s="2">
        <f t="shared" si="1"/>
        <v>18.5</v>
      </c>
      <c r="G28" s="1">
        <v>576.04</v>
      </c>
      <c r="H28" s="1">
        <v>376.99</v>
      </c>
      <c r="I28" s="1">
        <f t="shared" si="8"/>
        <v>547.76304426045942</v>
      </c>
      <c r="J28" s="1">
        <f t="shared" si="2"/>
        <v>376.99111843077515</v>
      </c>
      <c r="L28">
        <f t="shared" si="7"/>
        <v>3</v>
      </c>
      <c r="M28">
        <f t="shared" si="6"/>
        <v>1.52799355697759</v>
      </c>
    </row>
    <row r="29" spans="4:13" x14ac:dyDescent="0.25">
      <c r="D29" s="1">
        <v>2</v>
      </c>
      <c r="E29" s="2">
        <f t="shared" si="0"/>
        <v>1</v>
      </c>
      <c r="F29" s="2">
        <f t="shared" si="1"/>
        <v>19</v>
      </c>
      <c r="G29" s="1">
        <v>387.61</v>
      </c>
      <c r="H29" s="1">
        <v>251.33</v>
      </c>
      <c r="I29" s="1">
        <f t="shared" si="8"/>
        <v>375.04496724139563</v>
      </c>
      <c r="J29" s="1">
        <f t="shared" si="2"/>
        <v>251.32741228718345</v>
      </c>
      <c r="L29">
        <f t="shared" si="7"/>
        <v>2</v>
      </c>
      <c r="M29">
        <f>G29/J29</f>
        <v>1.542251187296239</v>
      </c>
    </row>
    <row r="30" spans="4:13" hidden="1" x14ac:dyDescent="0.25">
      <c r="D30" s="1">
        <v>1</v>
      </c>
      <c r="E30" s="2">
        <f>D30/2</f>
        <v>0.5</v>
      </c>
      <c r="F30" s="2">
        <f>20-E30</f>
        <v>19.5</v>
      </c>
      <c r="G30" s="1">
        <v>195.6</v>
      </c>
      <c r="H30" s="1">
        <v>125.66</v>
      </c>
      <c r="I30" s="1">
        <f>4*PI()*PI()*E30*F30/2</f>
        <v>192.45728582124249</v>
      </c>
      <c r="J30" s="1">
        <f>2*PI()*20*D30</f>
        <v>125.66370614359172</v>
      </c>
      <c r="L30">
        <f>D30</f>
        <v>1</v>
      </c>
      <c r="M30">
        <f t="shared" ref="M30" si="9">G30/H30</f>
        <v>1.5565812509947476</v>
      </c>
    </row>
  </sheetData>
  <mergeCells count="2">
    <mergeCell ref="G5:H5"/>
    <mergeCell ref="I5:J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rawr</dc:creator>
  <cp:lastModifiedBy>rawr</cp:lastModifiedBy>
  <dcterms:created xsi:type="dcterms:W3CDTF">2020-06-05T15:43:30Z</dcterms:created>
  <dcterms:modified xsi:type="dcterms:W3CDTF">2020-06-07T06:49:38Z</dcterms:modified>
</cp:coreProperties>
</file>