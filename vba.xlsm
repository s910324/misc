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wr\Desktop\"/>
    </mc:Choice>
  </mc:AlternateContent>
  <xr:revisionPtr revIDLastSave="0" documentId="13_ncr:1_{53D81CBE-E4A2-488A-A3F8-63C00FD7C23F}" xr6:coauthVersionLast="45" xr6:coauthVersionMax="45" xr10:uidLastSave="{00000000-0000-0000-0000-000000000000}"/>
  <bookViews>
    <workbookView xWindow="-120" yWindow="-120" windowWidth="29040" windowHeight="15990" xr2:uid="{75E3FA8A-BE1E-4DE8-97A9-88D44DFDF50D}"/>
  </bookViews>
  <sheets>
    <sheet name="Sheet1 (2)" sheetId="2" r:id="rId1"/>
    <sheet name="Sheet1" sheetId="1" r:id="rId2"/>
  </sheets>
  <functionGroups builtInGroupCount="19"/>
  <externalReferences>
    <externalReference r:id="rId3"/>
  </externalReferences>
  <definedNames>
    <definedName name="shift">#REF!</definedName>
    <definedName name="valuevx">42.314159</definedName>
    <definedName name="vertex42_copyright" hidden="1">"© 2009-2018 Vertex42 LLC"</definedName>
    <definedName name="vertex42_id" hidden="1">"box-plot.xlsx"</definedName>
    <definedName name="vertex42_title" hidden="1">"Box Plot Template"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9" i="2" l="1"/>
  <c r="D39" i="2" s="1"/>
  <c r="E39" i="2" s="1"/>
  <c r="F39" i="2" s="1"/>
  <c r="G39" i="2" s="1"/>
  <c r="H39" i="2" s="1"/>
  <c r="I39" i="2" s="1"/>
  <c r="C38" i="2"/>
  <c r="D38" i="2" s="1"/>
  <c r="E38" i="2" s="1"/>
  <c r="F38" i="2" s="1"/>
  <c r="G38" i="2" s="1"/>
  <c r="H38" i="2" s="1"/>
  <c r="I38" i="2" s="1"/>
  <c r="C22" i="2"/>
  <c r="C30" i="2"/>
  <c r="C37" i="2"/>
  <c r="C23" i="2"/>
  <c r="C31" i="2"/>
  <c r="C24" i="2"/>
  <c r="C32" i="2"/>
  <c r="C25" i="2"/>
  <c r="C33" i="2"/>
  <c r="C26" i="2"/>
  <c r="C34" i="2"/>
  <c r="C35" i="2"/>
  <c r="C29" i="2"/>
  <c r="C27" i="2"/>
  <c r="C36" i="2"/>
  <c r="C28" i="2"/>
  <c r="H26" i="2"/>
  <c r="H34" i="2"/>
  <c r="H27" i="2"/>
  <c r="H35" i="2"/>
  <c r="H28" i="2"/>
  <c r="H36" i="2"/>
  <c r="H29" i="2"/>
  <c r="H37" i="2"/>
  <c r="H22" i="2"/>
  <c r="H30" i="2"/>
  <c r="H23" i="2"/>
  <c r="H31" i="2"/>
  <c r="H24" i="2"/>
  <c r="H32" i="2"/>
  <c r="H25" i="2"/>
  <c r="H33" i="2"/>
  <c r="F37" i="2"/>
  <c r="E37" i="2"/>
  <c r="G37" i="2"/>
  <c r="D37" i="2"/>
  <c r="E36" i="2"/>
  <c r="G36" i="2"/>
  <c r="F36" i="2"/>
  <c r="D36" i="2"/>
  <c r="F35" i="2"/>
  <c r="D35" i="2"/>
  <c r="G35" i="2"/>
  <c r="E35" i="2"/>
  <c r="F34" i="2"/>
  <c r="E34" i="2"/>
  <c r="G34" i="2"/>
  <c r="D34" i="2"/>
  <c r="F33" i="2"/>
  <c r="D33" i="2"/>
  <c r="G33" i="2"/>
  <c r="E33" i="2"/>
  <c r="G32" i="2"/>
  <c r="F32" i="2"/>
  <c r="E32" i="2"/>
  <c r="D32" i="2"/>
  <c r="D31" i="2"/>
  <c r="G31" i="2"/>
  <c r="E31" i="2"/>
  <c r="F31" i="2"/>
  <c r="E23" i="2"/>
  <c r="F23" i="2"/>
  <c r="D23" i="2"/>
  <c r="G23" i="2"/>
  <c r="D24" i="2"/>
  <c r="G24" i="2"/>
  <c r="F24" i="2"/>
  <c r="E24" i="2"/>
  <c r="G30" i="2"/>
  <c r="F30" i="2"/>
  <c r="E30" i="2"/>
  <c r="D30" i="2"/>
  <c r="F29" i="2"/>
  <c r="E29" i="2"/>
  <c r="D29" i="2"/>
  <c r="G29" i="2"/>
  <c r="D28" i="2"/>
  <c r="E28" i="2"/>
  <c r="F28" i="2"/>
  <c r="G28" i="2"/>
  <c r="G27" i="2"/>
  <c r="E27" i="2"/>
  <c r="F27" i="2"/>
  <c r="D27" i="2"/>
  <c r="G26" i="2"/>
  <c r="F26" i="2"/>
  <c r="D26" i="2"/>
  <c r="E26" i="2"/>
  <c r="F25" i="2"/>
  <c r="E25" i="2"/>
  <c r="G25" i="2"/>
  <c r="D25" i="2"/>
  <c r="E22" i="2"/>
  <c r="D22" i="2"/>
  <c r="G22" i="2"/>
  <c r="F22" i="2"/>
  <c r="L7" i="1" l="1"/>
  <c r="L8" i="1"/>
  <c r="L9" i="1"/>
  <c r="L10" i="1"/>
  <c r="L11" i="1"/>
  <c r="L12" i="1"/>
  <c r="F7" i="1"/>
  <c r="F8" i="1"/>
  <c r="E7" i="1"/>
  <c r="E8" i="1"/>
  <c r="E9" i="1"/>
  <c r="F9" i="1" s="1"/>
  <c r="E10" i="1"/>
  <c r="F10" i="1" s="1"/>
  <c r="E11" i="1"/>
  <c r="F11" i="1" s="1"/>
  <c r="J7" i="1"/>
  <c r="M7" i="1" s="1"/>
  <c r="J8" i="1"/>
  <c r="J9" i="1"/>
  <c r="M9" i="1" s="1"/>
  <c r="J10" i="1"/>
  <c r="M10" i="1" s="1"/>
  <c r="J11" i="1"/>
  <c r="M11" i="1" s="1"/>
  <c r="L13" i="1" l="1"/>
  <c r="J12" i="1"/>
  <c r="M12" i="1" s="1"/>
  <c r="J13" i="1"/>
  <c r="M13" i="1" s="1"/>
  <c r="E12" i="1"/>
  <c r="F12" i="1" s="1"/>
  <c r="E13" i="1"/>
  <c r="F13" i="1" s="1"/>
  <c r="E22" i="1" l="1"/>
  <c r="F22" i="1" s="1"/>
  <c r="J22" i="1"/>
  <c r="M22" i="1" s="1"/>
  <c r="L22" i="1"/>
  <c r="L14" i="1"/>
  <c r="L15" i="1"/>
  <c r="L16" i="1"/>
  <c r="L17" i="1"/>
  <c r="L18" i="1"/>
  <c r="L19" i="1"/>
  <c r="L20" i="1"/>
  <c r="L21" i="1"/>
  <c r="L23" i="1"/>
  <c r="L24" i="1"/>
  <c r="L25" i="1"/>
  <c r="L26" i="1"/>
  <c r="L27" i="1"/>
  <c r="L28" i="1"/>
  <c r="L29" i="1"/>
  <c r="L30" i="1"/>
  <c r="M8" i="1"/>
  <c r="J14" i="1"/>
  <c r="M14" i="1" s="1"/>
  <c r="J15" i="1"/>
  <c r="M15" i="1" s="1"/>
  <c r="J16" i="1"/>
  <c r="M16" i="1" s="1"/>
  <c r="J17" i="1"/>
  <c r="M17" i="1" s="1"/>
  <c r="J18" i="1"/>
  <c r="M18" i="1" s="1"/>
  <c r="J19" i="1"/>
  <c r="M19" i="1" s="1"/>
  <c r="J20" i="1"/>
  <c r="M20" i="1" s="1"/>
  <c r="J21" i="1"/>
  <c r="M21" i="1" s="1"/>
  <c r="J23" i="1"/>
  <c r="M23" i="1" s="1"/>
  <c r="J24" i="1"/>
  <c r="M24" i="1" s="1"/>
  <c r="J25" i="1"/>
  <c r="M25" i="1" s="1"/>
  <c r="J26" i="1"/>
  <c r="M26" i="1" s="1"/>
  <c r="E14" i="1"/>
  <c r="F14" i="1" s="1"/>
  <c r="E15" i="1"/>
  <c r="F15" i="1" s="1"/>
  <c r="E16" i="1"/>
  <c r="F16" i="1" s="1"/>
  <c r="E17" i="1"/>
  <c r="F17" i="1" s="1"/>
  <c r="E18" i="1"/>
  <c r="F18" i="1" s="1"/>
  <c r="E19" i="1"/>
  <c r="F19" i="1" s="1"/>
  <c r="E20" i="1"/>
  <c r="F20" i="1"/>
  <c r="E21" i="1"/>
  <c r="F21" i="1" s="1"/>
  <c r="E23" i="1"/>
  <c r="F23" i="1" s="1"/>
  <c r="E24" i="1"/>
  <c r="F24" i="1" s="1"/>
  <c r="E25" i="1"/>
  <c r="F25" i="1" s="1"/>
  <c r="E26" i="1"/>
  <c r="F26" i="1" s="1"/>
  <c r="J27" i="1"/>
  <c r="M27" i="1" s="1"/>
  <c r="J28" i="1"/>
  <c r="M28" i="1" s="1"/>
  <c r="J29" i="1"/>
  <c r="M29" i="1" s="1"/>
  <c r="J30" i="1"/>
  <c r="E27" i="1"/>
  <c r="F27" i="1" s="1"/>
  <c r="E28" i="1"/>
  <c r="F28" i="1" s="1"/>
  <c r="E29" i="1"/>
  <c r="F29" i="1" s="1"/>
  <c r="E30" i="1"/>
  <c r="M30" i="1"/>
  <c r="F30" i="1" l="1"/>
  <c r="I30" i="1" s="1"/>
  <c r="I8" i="1"/>
  <c r="I29" i="1"/>
  <c r="I28" i="1"/>
  <c r="I27" i="1"/>
  <c r="I23" i="1"/>
  <c r="I18" i="1"/>
</calcChain>
</file>

<file path=xl/sharedStrings.xml><?xml version="1.0" encoding="utf-8"?>
<sst xmlns="http://schemas.openxmlformats.org/spreadsheetml/2006/main" count="94" uniqueCount="27">
  <si>
    <t>r</t>
    <phoneticPr fontId="1" type="noConversion"/>
  </si>
  <si>
    <t>h</t>
    <phoneticPr fontId="1" type="noConversion"/>
  </si>
  <si>
    <t>R</t>
    <phoneticPr fontId="1" type="noConversion"/>
  </si>
  <si>
    <t>CAD</t>
    <phoneticPr fontId="1" type="noConversion"/>
  </si>
  <si>
    <t>t</t>
    <phoneticPr fontId="1" type="noConversion"/>
  </si>
  <si>
    <t>c</t>
    <phoneticPr fontId="1" type="noConversion"/>
  </si>
  <si>
    <t>Calc</t>
    <phoneticPr fontId="1" type="noConversion"/>
  </si>
  <si>
    <t>item</t>
    <phoneticPr fontId="4" type="noConversion"/>
  </si>
  <si>
    <t>b</t>
    <phoneticPr fontId="4" type="noConversion"/>
  </si>
  <si>
    <t>c</t>
    <phoneticPr fontId="4" type="noConversion"/>
  </si>
  <si>
    <t>d</t>
    <phoneticPr fontId="4" type="noConversion"/>
  </si>
  <si>
    <t>e</t>
    <phoneticPr fontId="4" type="noConversion"/>
  </si>
  <si>
    <t>Blank</t>
  </si>
  <si>
    <t>Bottom 25%</t>
  </si>
  <si>
    <t>25-50%</t>
  </si>
  <si>
    <t>50-75%</t>
  </si>
  <si>
    <t>Top 25%</t>
  </si>
  <si>
    <t>Uoutlier</t>
    <phoneticPr fontId="4" type="noConversion"/>
  </si>
  <si>
    <t>Uwhisker</t>
    <phoneticPr fontId="4" type="noConversion"/>
  </si>
  <si>
    <t>Lwhisker</t>
    <phoneticPr fontId="4" type="noConversion"/>
  </si>
  <si>
    <t>Loutlier</t>
    <phoneticPr fontId="4" type="noConversion"/>
  </si>
  <si>
    <t/>
  </si>
  <si>
    <t>spec H</t>
    <phoneticPr fontId="1" type="noConversion"/>
  </si>
  <si>
    <t>spec_L</t>
    <phoneticPr fontId="1" type="noConversion"/>
  </si>
  <si>
    <t>a</t>
    <phoneticPr fontId="1" type="noConversion"/>
  </si>
  <si>
    <t>f</t>
    <phoneticPr fontId="1" type="noConversion"/>
  </si>
  <si>
    <t>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</si>
</sst>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0_ "/>
  </numFmts>
  <fonts count="7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name val="Arial"/>
      <family val="2"/>
    </font>
    <font>
      <sz val="9"/>
      <color theme="0"/>
      <name val="Arial Narrow"/>
      <family val="2"/>
    </font>
    <font>
      <sz val="9"/>
      <name val="細明體"/>
      <family val="3"/>
      <charset val="136"/>
    </font>
    <font>
      <sz val="9"/>
      <name val="Arial Narrow"/>
      <family val="2"/>
    </font>
    <font>
      <sz val="9"/>
      <color indexed="23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1" applyFont="1"/>
    <xf numFmtId="0" fontId="3" fillId="2" borderId="1" xfId="1" applyFont="1" applyFill="1" applyBorder="1" applyAlignment="1">
      <alignment horizontal="center" vertical="center"/>
    </xf>
    <xf numFmtId="177" fontId="5" fillId="3" borderId="1" xfId="1" applyNumberFormat="1" applyFont="1" applyFill="1" applyBorder="1" applyAlignment="1">
      <alignment horizontal="center" vertical="center" wrapText="1"/>
    </xf>
    <xf numFmtId="1" fontId="5" fillId="4" borderId="1" xfId="1" applyNumberFormat="1" applyFont="1" applyFill="1" applyBorder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1" applyFont="1" applyFill="1" applyAlignment="1">
      <alignment horizontal="center" vertical="center"/>
    </xf>
    <xf numFmtId="0" fontId="5" fillId="2" borderId="0" xfId="1" applyFont="1" applyFill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5" fillId="0" borderId="0" xfId="1" applyFont="1" applyAlignment="1">
      <alignment horizontal="center" vertical="center"/>
    </xf>
    <xf numFmtId="9" fontId="3" fillId="2" borderId="2" xfId="1" applyNumberFormat="1" applyFont="1" applyFill="1" applyBorder="1" applyAlignment="1">
      <alignment horizontal="center" vertical="center"/>
    </xf>
    <xf numFmtId="2" fontId="3" fillId="2" borderId="2" xfId="1" applyNumberFormat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  <xf numFmtId="0" fontId="3" fillId="0" borderId="0" xfId="1" applyFont="1"/>
  </cellXfs>
  <cellStyles count="2">
    <cellStyle name="Normal" xfId="0" builtinId="0"/>
    <cellStyle name="Normal 2" xfId="1" xr:uid="{BBBA0E18-8251-4A32-B218-07210F355973}"/>
  </cellStyles>
  <dxfs count="0"/>
  <tableStyles count="0" defaultTableStyle="TableStyleMedium2" defaultPivotStyle="PivotStyleLight16"/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611535271745798"/>
          <c:y val="2.90333589702138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0.10458947368421052"/>
          <c:y val="3.3554267724147178E-2"/>
          <c:w val="0.86798812415654525"/>
          <c:h val="0.80096995586210951"/>
        </c:manualLayout>
      </c:layout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multiLvlStrRef>
              <c:f>'Sheet1 (2)'!$B$20:$I$21</c:f>
              <c:multiLvlStrCache>
                <c:ptCount val="7"/>
                <c:lvl>
                  <c:pt idx="1">
                    <c:v>a</c:v>
                  </c:pt>
                  <c:pt idx="2">
                    <c:v>b</c:v>
                  </c:pt>
                  <c:pt idx="3">
                    <c:v>c</c:v>
                  </c:pt>
                  <c:pt idx="4">
                    <c:v>d</c:v>
                  </c:pt>
                  <c:pt idx="5">
                    <c:v>e</c:v>
                  </c:pt>
                  <c:pt idx="6">
                    <c:v>f</c:v>
                  </c:pt>
                </c:lvl>
                <c:lvl>
                  <c:pt idx="1">
                    <c:v>a</c:v>
                  </c:pt>
                  <c:pt idx="4">
                    <c:v>n</c:v>
                  </c:pt>
                  <c:pt idx="5">
                    <c:v>n</c:v>
                  </c:pt>
                  <c:pt idx="6">
                    <c:v>n</c:v>
                  </c:pt>
                </c:lvl>
              </c:multiLvlStrCache>
            </c:multiLvlStrRef>
          </c:cat>
          <c:val>
            <c:numRef>
              <c:f>'Sheet1 (2)'!$B$22:$I$22</c:f>
              <c:numCache>
                <c:formatCode>0.00_ </c:formatCode>
                <c:ptCount val="8"/>
                <c:pt idx="1">
                  <c:v>22</c:v>
                </c:pt>
                <c:pt idx="2">
                  <c:v>12.079733103016904</c:v>
                </c:pt>
                <c:pt idx="3">
                  <c:v>30</c:v>
                </c:pt>
                <c:pt idx="4">
                  <c:v>40</c:v>
                </c:pt>
                <c:pt idx="5">
                  <c:v>10</c:v>
                </c:pt>
                <c:pt idx="6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AA-47EC-AE58-E4DB75304C52}"/>
            </c:ext>
          </c:extLst>
        </c:ser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errBars>
            <c:errBarType val="minus"/>
            <c:errValType val="cust"/>
            <c:noEndCap val="0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'Sheet1 (2)'!$B$35:$I$35</c:f>
                <c:numCache>
                  <c:formatCode>General</c:formatCode>
                  <c:ptCount val="8"/>
                  <c:pt idx="1">
                    <c:v>17.5</c:v>
                  </c:pt>
                  <c:pt idx="2">
                    <c:v>5.6035799029817479</c:v>
                  </c:pt>
                  <c:pt idx="3">
                    <c:v>25.5</c:v>
                  </c:pt>
                  <c:pt idx="4">
                    <c:v>15</c:v>
                  </c:pt>
                  <c:pt idx="5">
                    <c:v>27.75</c:v>
                  </c:pt>
                  <c:pt idx="6">
                    <c:v>13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multiLvlStrRef>
              <c:f>'Sheet1 (2)'!$B$20:$I$21</c:f>
              <c:multiLvlStrCache>
                <c:ptCount val="7"/>
                <c:lvl>
                  <c:pt idx="1">
                    <c:v>a</c:v>
                  </c:pt>
                  <c:pt idx="2">
                    <c:v>b</c:v>
                  </c:pt>
                  <c:pt idx="3">
                    <c:v>c</c:v>
                  </c:pt>
                  <c:pt idx="4">
                    <c:v>d</c:v>
                  </c:pt>
                  <c:pt idx="5">
                    <c:v>e</c:v>
                  </c:pt>
                  <c:pt idx="6">
                    <c:v>f</c:v>
                  </c:pt>
                </c:lvl>
                <c:lvl>
                  <c:pt idx="1">
                    <c:v>a</c:v>
                  </c:pt>
                  <c:pt idx="4">
                    <c:v>n</c:v>
                  </c:pt>
                  <c:pt idx="5">
                    <c:v>n</c:v>
                  </c:pt>
                  <c:pt idx="6">
                    <c:v>n</c:v>
                  </c:pt>
                </c:lvl>
              </c:multiLvlStrCache>
            </c:multiLvlStrRef>
          </c:cat>
          <c:val>
            <c:numRef>
              <c:f>'Sheet1 (2)'!$B$23:$I$23</c:f>
              <c:numCache>
                <c:formatCode>0.00_ </c:formatCode>
                <c:ptCount val="8"/>
                <c:pt idx="1">
                  <c:v>17.5</c:v>
                </c:pt>
                <c:pt idx="2">
                  <c:v>5.6035799029817479</c:v>
                </c:pt>
                <c:pt idx="3">
                  <c:v>52</c:v>
                </c:pt>
                <c:pt idx="4">
                  <c:v>15</c:v>
                </c:pt>
                <c:pt idx="5">
                  <c:v>65.25</c:v>
                </c:pt>
                <c:pt idx="6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AA-47EC-AE58-E4DB75304C52}"/>
            </c:ext>
          </c:extLst>
        </c:ser>
        <c:ser>
          <c:idx val="2"/>
          <c:order val="2"/>
          <c:spPr>
            <a:solidFill>
              <a:schemeClr val="bg1">
                <a:lumMod val="95000"/>
              </a:schemeClr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cat>
            <c:multiLvlStrRef>
              <c:f>'Sheet1 (2)'!$B$20:$I$21</c:f>
              <c:multiLvlStrCache>
                <c:ptCount val="7"/>
                <c:lvl>
                  <c:pt idx="1">
                    <c:v>a</c:v>
                  </c:pt>
                  <c:pt idx="2">
                    <c:v>b</c:v>
                  </c:pt>
                  <c:pt idx="3">
                    <c:v>c</c:v>
                  </c:pt>
                  <c:pt idx="4">
                    <c:v>d</c:v>
                  </c:pt>
                  <c:pt idx="5">
                    <c:v>e</c:v>
                  </c:pt>
                  <c:pt idx="6">
                    <c:v>f</c:v>
                  </c:pt>
                </c:lvl>
                <c:lvl>
                  <c:pt idx="1">
                    <c:v>a</c:v>
                  </c:pt>
                  <c:pt idx="4">
                    <c:v>n</c:v>
                  </c:pt>
                  <c:pt idx="5">
                    <c:v>n</c:v>
                  </c:pt>
                  <c:pt idx="6">
                    <c:v>n</c:v>
                  </c:pt>
                </c:lvl>
              </c:multiLvlStrCache>
            </c:multiLvlStrRef>
          </c:cat>
          <c:val>
            <c:numRef>
              <c:f>'Sheet1 (2)'!$B$24:$I$24</c:f>
              <c:numCache>
                <c:formatCode>0.00_ </c:formatCode>
                <c:ptCount val="8"/>
                <c:pt idx="1">
                  <c:v>23</c:v>
                </c:pt>
                <c:pt idx="2">
                  <c:v>4.1868984840919374</c:v>
                </c:pt>
                <c:pt idx="3">
                  <c:v>10</c:v>
                </c:pt>
                <c:pt idx="4">
                  <c:v>38</c:v>
                </c:pt>
                <c:pt idx="5">
                  <c:v>8.25</c:v>
                </c:pt>
                <c:pt idx="6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AA-47EC-AE58-E4DB75304C52}"/>
            </c:ext>
          </c:extLst>
        </c:ser>
        <c:ser>
          <c:idx val="3"/>
          <c:order val="3"/>
          <c:spPr>
            <a:solidFill>
              <a:schemeClr val="bg1">
                <a:lumMod val="95000"/>
              </a:schemeClr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'Sheet1 (2)'!$B$33:$I$33</c:f>
                <c:numCache>
                  <c:formatCode>General</c:formatCode>
                  <c:ptCount val="8"/>
                  <c:pt idx="1">
                    <c:v>28</c:v>
                  </c:pt>
                  <c:pt idx="2">
                    <c:v>24.271407503960823</c:v>
                  </c:pt>
                  <c:pt idx="3">
                    <c:v>25.5</c:v>
                  </c:pt>
                  <c:pt idx="4">
                    <c:v>22</c:v>
                  </c:pt>
                  <c:pt idx="5">
                    <c:v>27.75</c:v>
                  </c:pt>
                  <c:pt idx="6">
                    <c:v>31.5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multiLvlStrRef>
              <c:f>'Sheet1 (2)'!$B$20:$I$21</c:f>
              <c:multiLvlStrCache>
                <c:ptCount val="7"/>
                <c:lvl>
                  <c:pt idx="1">
                    <c:v>a</c:v>
                  </c:pt>
                  <c:pt idx="2">
                    <c:v>b</c:v>
                  </c:pt>
                  <c:pt idx="3">
                    <c:v>c</c:v>
                  </c:pt>
                  <c:pt idx="4">
                    <c:v>d</c:v>
                  </c:pt>
                  <c:pt idx="5">
                    <c:v>e</c:v>
                  </c:pt>
                  <c:pt idx="6">
                    <c:v>f</c:v>
                  </c:pt>
                </c:lvl>
                <c:lvl>
                  <c:pt idx="1">
                    <c:v>a</c:v>
                  </c:pt>
                  <c:pt idx="4">
                    <c:v>n</c:v>
                  </c:pt>
                  <c:pt idx="5">
                    <c:v>n</c:v>
                  </c:pt>
                  <c:pt idx="6">
                    <c:v>n</c:v>
                  </c:pt>
                </c:lvl>
              </c:multiLvlStrCache>
            </c:multiLvlStrRef>
          </c:cat>
          <c:val>
            <c:numRef>
              <c:f>'Sheet1 (2)'!$B$25:$I$25</c:f>
              <c:numCache>
                <c:formatCode>0.00_ </c:formatCode>
                <c:ptCount val="8"/>
                <c:pt idx="1">
                  <c:v>17.5</c:v>
                </c:pt>
                <c:pt idx="2">
                  <c:v>11.994039851881944</c:v>
                </c:pt>
                <c:pt idx="3">
                  <c:v>7</c:v>
                </c:pt>
                <c:pt idx="4">
                  <c:v>23</c:v>
                </c:pt>
                <c:pt idx="5">
                  <c:v>10.25</c:v>
                </c:pt>
                <c:pt idx="6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AA-47EC-AE58-E4DB75304C52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</c:spPr>
          <c:invertIfNegative val="0"/>
          <c:cat>
            <c:multiLvlStrRef>
              <c:f>'Sheet1 (2)'!$B$20:$I$21</c:f>
              <c:multiLvlStrCache>
                <c:ptCount val="7"/>
                <c:lvl>
                  <c:pt idx="1">
                    <c:v>a</c:v>
                  </c:pt>
                  <c:pt idx="2">
                    <c:v>b</c:v>
                  </c:pt>
                  <c:pt idx="3">
                    <c:v>c</c:v>
                  </c:pt>
                  <c:pt idx="4">
                    <c:v>d</c:v>
                  </c:pt>
                  <c:pt idx="5">
                    <c:v>e</c:v>
                  </c:pt>
                  <c:pt idx="6">
                    <c:v>f</c:v>
                  </c:pt>
                </c:lvl>
                <c:lvl>
                  <c:pt idx="1">
                    <c:v>a</c:v>
                  </c:pt>
                  <c:pt idx="4">
                    <c:v>n</c:v>
                  </c:pt>
                  <c:pt idx="5">
                    <c:v>n</c:v>
                  </c:pt>
                  <c:pt idx="6">
                    <c:v>n</c:v>
                  </c:pt>
                </c:lvl>
              </c:multiLvlStrCache>
            </c:multiLvlStrRef>
          </c:cat>
          <c:val>
            <c:numRef>
              <c:f>'Sheet1 (2)'!$B$26:$I$26</c:f>
              <c:numCache>
                <c:formatCode>0.00_ </c:formatCode>
                <c:ptCount val="8"/>
                <c:pt idx="1">
                  <c:v>28</c:v>
                </c:pt>
                <c:pt idx="2">
                  <c:v>44.740299428723247</c:v>
                </c:pt>
                <c:pt idx="3">
                  <c:v>46</c:v>
                </c:pt>
                <c:pt idx="4">
                  <c:v>22</c:v>
                </c:pt>
                <c:pt idx="5">
                  <c:v>46.25</c:v>
                </c:pt>
                <c:pt idx="6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AA-47EC-AE58-E4DB75304C52}"/>
            </c:ext>
          </c:extLst>
        </c:ser>
        <c:ser>
          <c:idx val="5"/>
          <c:order val="5"/>
          <c:spPr>
            <a:noFill/>
            <a:ln>
              <a:noFill/>
            </a:ln>
            <a:effectLst/>
          </c:spPr>
          <c:invertIfNegative val="0"/>
          <c:cat>
            <c:multiLvlStrRef>
              <c:f>'Sheet1 (2)'!$B$20:$I$21</c:f>
              <c:multiLvlStrCache>
                <c:ptCount val="7"/>
                <c:lvl>
                  <c:pt idx="1">
                    <c:v>a</c:v>
                  </c:pt>
                  <c:pt idx="2">
                    <c:v>b</c:v>
                  </c:pt>
                  <c:pt idx="3">
                    <c:v>c</c:v>
                  </c:pt>
                  <c:pt idx="4">
                    <c:v>d</c:v>
                  </c:pt>
                  <c:pt idx="5">
                    <c:v>e</c:v>
                  </c:pt>
                  <c:pt idx="6">
                    <c:v>f</c:v>
                  </c:pt>
                </c:lvl>
                <c:lvl>
                  <c:pt idx="1">
                    <c:v>a</c:v>
                  </c:pt>
                  <c:pt idx="4">
                    <c:v>n</c:v>
                  </c:pt>
                  <c:pt idx="5">
                    <c:v>n</c:v>
                  </c:pt>
                  <c:pt idx="6">
                    <c:v>n</c:v>
                  </c:pt>
                </c:lvl>
              </c:multiLvlStrCache>
            </c:multiLvlStrRef>
          </c:cat>
          <c:val>
            <c:numRef>
              <c:f>'Sheet1 (2)'!$B$27:$I$27</c:f>
              <c:numCache>
                <c:formatCode>0.00_ 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7AA-47EC-AE58-E4DB75304C52}"/>
            </c:ext>
          </c:extLst>
        </c:ser>
        <c:ser>
          <c:idx val="6"/>
          <c:order val="6"/>
          <c:spPr>
            <a:noFill/>
            <a:ln>
              <a:noFill/>
            </a:ln>
            <a:effectLst/>
          </c:spPr>
          <c:invertIfNegative val="0"/>
          <c:errBars>
            <c:errBarType val="plus"/>
            <c:errValType val="cust"/>
            <c:noEndCap val="0"/>
            <c:plus>
              <c:numRef>
                <c:f>'Sheet1 (2)'!$B$34:$I$34</c:f>
                <c:numCache>
                  <c:formatCode>General</c:formatCode>
                  <c:ptCount val="8"/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multiLvlStrRef>
              <c:f>'Sheet1 (2)'!$B$20:$I$21</c:f>
              <c:multiLvlStrCache>
                <c:ptCount val="7"/>
                <c:lvl>
                  <c:pt idx="1">
                    <c:v>a</c:v>
                  </c:pt>
                  <c:pt idx="2">
                    <c:v>b</c:v>
                  </c:pt>
                  <c:pt idx="3">
                    <c:v>c</c:v>
                  </c:pt>
                  <c:pt idx="4">
                    <c:v>d</c:v>
                  </c:pt>
                  <c:pt idx="5">
                    <c:v>e</c:v>
                  </c:pt>
                  <c:pt idx="6">
                    <c:v>f</c:v>
                  </c:pt>
                </c:lvl>
                <c:lvl>
                  <c:pt idx="1">
                    <c:v>a</c:v>
                  </c:pt>
                  <c:pt idx="4">
                    <c:v>n</c:v>
                  </c:pt>
                  <c:pt idx="5">
                    <c:v>n</c:v>
                  </c:pt>
                  <c:pt idx="6">
                    <c:v>n</c:v>
                  </c:pt>
                </c:lvl>
              </c:multiLvlStrCache>
            </c:multiLvlStrRef>
          </c:cat>
          <c:val>
            <c:numRef>
              <c:f>'Sheet1 (2)'!$B$28:$I$28</c:f>
              <c:numCache>
                <c:formatCode>0.00_ 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7AA-47EC-AE58-E4DB75304C52}"/>
            </c:ext>
          </c:extLst>
        </c:ser>
        <c:ser>
          <c:idx val="7"/>
          <c:order val="7"/>
          <c:spPr>
            <a:solidFill>
              <a:schemeClr val="bg1">
                <a:lumMod val="95000"/>
              </a:schemeClr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cat>
            <c:multiLvlStrRef>
              <c:f>'Sheet1 (2)'!$B$20:$I$21</c:f>
              <c:multiLvlStrCache>
                <c:ptCount val="7"/>
                <c:lvl>
                  <c:pt idx="1">
                    <c:v>a</c:v>
                  </c:pt>
                  <c:pt idx="2">
                    <c:v>b</c:v>
                  </c:pt>
                  <c:pt idx="3">
                    <c:v>c</c:v>
                  </c:pt>
                  <c:pt idx="4">
                    <c:v>d</c:v>
                  </c:pt>
                  <c:pt idx="5">
                    <c:v>e</c:v>
                  </c:pt>
                  <c:pt idx="6">
                    <c:v>f</c:v>
                  </c:pt>
                </c:lvl>
                <c:lvl>
                  <c:pt idx="1">
                    <c:v>a</c:v>
                  </c:pt>
                  <c:pt idx="4">
                    <c:v>n</c:v>
                  </c:pt>
                  <c:pt idx="5">
                    <c:v>n</c:v>
                  </c:pt>
                  <c:pt idx="6">
                    <c:v>n</c:v>
                  </c:pt>
                </c:lvl>
              </c:multiLvlStrCache>
            </c:multiLvlStrRef>
          </c:cat>
          <c:val>
            <c:numRef>
              <c:f>'Sheet1 (2)'!$B$29:$I$29</c:f>
              <c:numCache>
                <c:formatCode>0.00_ 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7AA-47EC-AE58-E4DB75304C52}"/>
            </c:ext>
          </c:extLst>
        </c:ser>
        <c:ser>
          <c:idx val="8"/>
          <c:order val="8"/>
          <c:spPr>
            <a:solidFill>
              <a:schemeClr val="bg1">
                <a:lumMod val="95000"/>
              </a:schemeClr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errBars>
            <c:errBarType val="minus"/>
            <c:errValType val="cust"/>
            <c:noEndCap val="0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'Sheet1 (2)'!$B$36:$I$36</c:f>
                <c:numCache>
                  <c:formatCode>General</c:formatCode>
                  <c:ptCount val="8"/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multiLvlStrRef>
              <c:f>'Sheet1 (2)'!$B$20:$I$21</c:f>
              <c:multiLvlStrCache>
                <c:ptCount val="7"/>
                <c:lvl>
                  <c:pt idx="1">
                    <c:v>a</c:v>
                  </c:pt>
                  <c:pt idx="2">
                    <c:v>b</c:v>
                  </c:pt>
                  <c:pt idx="3">
                    <c:v>c</c:v>
                  </c:pt>
                  <c:pt idx="4">
                    <c:v>d</c:v>
                  </c:pt>
                  <c:pt idx="5">
                    <c:v>e</c:v>
                  </c:pt>
                  <c:pt idx="6">
                    <c:v>f</c:v>
                  </c:pt>
                </c:lvl>
                <c:lvl>
                  <c:pt idx="1">
                    <c:v>a</c:v>
                  </c:pt>
                  <c:pt idx="4">
                    <c:v>n</c:v>
                  </c:pt>
                  <c:pt idx="5">
                    <c:v>n</c:v>
                  </c:pt>
                  <c:pt idx="6">
                    <c:v>n</c:v>
                  </c:pt>
                </c:lvl>
              </c:multiLvlStrCache>
            </c:multiLvlStrRef>
          </c:cat>
          <c:val>
            <c:numRef>
              <c:f>'Sheet1 (2)'!$B$30:$I$30</c:f>
              <c:numCache>
                <c:formatCode>0.00_ 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7AA-47EC-AE58-E4DB75304C52}"/>
            </c:ext>
          </c:extLst>
        </c:ser>
        <c:ser>
          <c:idx val="9"/>
          <c:order val="9"/>
          <c:spPr>
            <a:noFill/>
            <a:ln>
              <a:noFill/>
            </a:ln>
            <a:effectLst/>
          </c:spPr>
          <c:invertIfNegative val="0"/>
          <c:cat>
            <c:multiLvlStrRef>
              <c:f>'Sheet1 (2)'!$B$20:$I$21</c:f>
              <c:multiLvlStrCache>
                <c:ptCount val="7"/>
                <c:lvl>
                  <c:pt idx="1">
                    <c:v>a</c:v>
                  </c:pt>
                  <c:pt idx="2">
                    <c:v>b</c:v>
                  </c:pt>
                  <c:pt idx="3">
                    <c:v>c</c:v>
                  </c:pt>
                  <c:pt idx="4">
                    <c:v>d</c:v>
                  </c:pt>
                  <c:pt idx="5">
                    <c:v>e</c:v>
                  </c:pt>
                  <c:pt idx="6">
                    <c:v>f</c:v>
                  </c:pt>
                </c:lvl>
                <c:lvl>
                  <c:pt idx="1">
                    <c:v>a</c:v>
                  </c:pt>
                  <c:pt idx="4">
                    <c:v>n</c:v>
                  </c:pt>
                  <c:pt idx="5">
                    <c:v>n</c:v>
                  </c:pt>
                  <c:pt idx="6">
                    <c:v>n</c:v>
                  </c:pt>
                </c:lvl>
              </c:multiLvlStrCache>
            </c:multiLvlStrRef>
          </c:cat>
          <c:val>
            <c:numRef>
              <c:f>'Sheet1 (2)'!$B$31:$I$31</c:f>
              <c:numCache>
                <c:formatCode>0.00_ 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7AA-47EC-AE58-E4DB75304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63584512"/>
        <c:axId val="2123572560"/>
      </c:barChart>
      <c:lineChart>
        <c:grouping val="standard"/>
        <c:varyColors val="0"/>
        <c:ser>
          <c:idx val="11"/>
          <c:order val="10"/>
          <c:tx>
            <c:v>lout</c:v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multiLvlStrRef>
              <c:f>'Sheet1 (2)'!$B$20:$I$21</c:f>
              <c:multiLvlStrCache>
                <c:ptCount val="7"/>
                <c:lvl>
                  <c:pt idx="1">
                    <c:v>a</c:v>
                  </c:pt>
                  <c:pt idx="2">
                    <c:v>b</c:v>
                  </c:pt>
                  <c:pt idx="3">
                    <c:v>c</c:v>
                  </c:pt>
                  <c:pt idx="4">
                    <c:v>d</c:v>
                  </c:pt>
                  <c:pt idx="5">
                    <c:v>e</c:v>
                  </c:pt>
                  <c:pt idx="6">
                    <c:v>f</c:v>
                  </c:pt>
                </c:lvl>
                <c:lvl>
                  <c:pt idx="1">
                    <c:v>a</c:v>
                  </c:pt>
                  <c:pt idx="4">
                    <c:v>n</c:v>
                  </c:pt>
                  <c:pt idx="5">
                    <c:v>n</c:v>
                  </c:pt>
                  <c:pt idx="6">
                    <c:v>n</c:v>
                  </c:pt>
                </c:lvl>
              </c:multiLvlStrCache>
            </c:multiLvlStrRef>
          </c:cat>
          <c:val>
            <c:numRef>
              <c:f>'Sheet1 (2)'!$B$37:$I$37</c:f>
              <c:numCache>
                <c:formatCode>0.00_ </c:formatCode>
                <c:ptCount val="8"/>
                <c:pt idx="1">
                  <c:v>#N/A</c:v>
                </c:pt>
                <c:pt idx="2">
                  <c:v>#N/A</c:v>
                </c:pt>
                <c:pt idx="3">
                  <c:v>30</c:v>
                </c:pt>
                <c:pt idx="4">
                  <c:v>#N/A</c:v>
                </c:pt>
                <c:pt idx="5">
                  <c:v>10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7AA-47EC-AE58-E4DB75304C52}"/>
            </c:ext>
          </c:extLst>
        </c:ser>
        <c:ser>
          <c:idx val="10"/>
          <c:order val="11"/>
          <c:tx>
            <c:v>uout</c:v>
          </c:tx>
          <c:spPr>
            <a:ln w="28575" cap="rnd">
              <a:noFill/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multiLvlStrRef>
              <c:f>'Sheet1 (2)'!$B$20:$I$21</c:f>
              <c:multiLvlStrCache>
                <c:ptCount val="7"/>
                <c:lvl>
                  <c:pt idx="1">
                    <c:v>a</c:v>
                  </c:pt>
                  <c:pt idx="2">
                    <c:v>b</c:v>
                  </c:pt>
                  <c:pt idx="3">
                    <c:v>c</c:v>
                  </c:pt>
                  <c:pt idx="4">
                    <c:v>d</c:v>
                  </c:pt>
                  <c:pt idx="5">
                    <c:v>e</c:v>
                  </c:pt>
                  <c:pt idx="6">
                    <c:v>f</c:v>
                  </c:pt>
                </c:lvl>
                <c:lvl>
                  <c:pt idx="1">
                    <c:v>a</c:v>
                  </c:pt>
                  <c:pt idx="4">
                    <c:v>n</c:v>
                  </c:pt>
                  <c:pt idx="5">
                    <c:v>n</c:v>
                  </c:pt>
                  <c:pt idx="6">
                    <c:v>n</c:v>
                  </c:pt>
                </c:lvl>
              </c:multiLvlStrCache>
            </c:multiLvlStrRef>
          </c:cat>
          <c:val>
            <c:numRef>
              <c:f>'Sheet1 (2)'!$B$32:$I$32</c:f>
              <c:numCache>
                <c:formatCode>0.00_ </c:formatCode>
                <c:ptCount val="8"/>
                <c:pt idx="1">
                  <c:v>#N/A</c:v>
                </c:pt>
                <c:pt idx="2">
                  <c:v>78.604550770695781</c:v>
                </c:pt>
                <c:pt idx="3">
                  <c:v>145</c:v>
                </c:pt>
                <c:pt idx="4">
                  <c:v>#N/A</c:v>
                </c:pt>
                <c:pt idx="5">
                  <c:v>140</c:v>
                </c:pt>
                <c:pt idx="6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7AA-47EC-AE58-E4DB75304C52}"/>
            </c:ext>
          </c:extLst>
        </c:ser>
        <c:ser>
          <c:idx val="12"/>
          <c:order val="12"/>
          <c:tx>
            <c:v>shec_h</c:v>
          </c:tx>
          <c:spPr>
            <a:ln w="6350" cap="rnd">
              <a:solidFill>
                <a:srgbClr val="FF0066"/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'Sheet1 (2)'!$B$20:$I$21</c:f>
              <c:multiLvlStrCache>
                <c:ptCount val="7"/>
                <c:lvl>
                  <c:pt idx="1">
                    <c:v>a</c:v>
                  </c:pt>
                  <c:pt idx="2">
                    <c:v>b</c:v>
                  </c:pt>
                  <c:pt idx="3">
                    <c:v>c</c:v>
                  </c:pt>
                  <c:pt idx="4">
                    <c:v>d</c:v>
                  </c:pt>
                  <c:pt idx="5">
                    <c:v>e</c:v>
                  </c:pt>
                  <c:pt idx="6">
                    <c:v>f</c:v>
                  </c:pt>
                </c:lvl>
                <c:lvl>
                  <c:pt idx="1">
                    <c:v>a</c:v>
                  </c:pt>
                  <c:pt idx="4">
                    <c:v>n</c:v>
                  </c:pt>
                  <c:pt idx="5">
                    <c:v>n</c:v>
                  </c:pt>
                  <c:pt idx="6">
                    <c:v>n</c:v>
                  </c:pt>
                </c:lvl>
              </c:multiLvlStrCache>
            </c:multiLvlStrRef>
          </c:cat>
          <c:val>
            <c:numRef>
              <c:f>'Sheet1 (2)'!$B$38:$I$38</c:f>
              <c:numCache>
                <c:formatCode>0.00_ </c:formatCode>
                <c:ptCount val="8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7AA-47EC-AE58-E4DB75304C52}"/>
            </c:ext>
          </c:extLst>
        </c:ser>
        <c:ser>
          <c:idx val="13"/>
          <c:order val="13"/>
          <c:tx>
            <c:v>spec_l</c:v>
          </c:tx>
          <c:spPr>
            <a:ln w="6350" cap="rnd">
              <a:solidFill>
                <a:srgbClr val="FF0066"/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'Sheet1 (2)'!$B$20:$I$21</c:f>
              <c:multiLvlStrCache>
                <c:ptCount val="7"/>
                <c:lvl>
                  <c:pt idx="1">
                    <c:v>a</c:v>
                  </c:pt>
                  <c:pt idx="2">
                    <c:v>b</c:v>
                  </c:pt>
                  <c:pt idx="3">
                    <c:v>c</c:v>
                  </c:pt>
                  <c:pt idx="4">
                    <c:v>d</c:v>
                  </c:pt>
                  <c:pt idx="5">
                    <c:v>e</c:v>
                  </c:pt>
                  <c:pt idx="6">
                    <c:v>f</c:v>
                  </c:pt>
                </c:lvl>
                <c:lvl>
                  <c:pt idx="1">
                    <c:v>a</c:v>
                  </c:pt>
                  <c:pt idx="4">
                    <c:v>n</c:v>
                  </c:pt>
                  <c:pt idx="5">
                    <c:v>n</c:v>
                  </c:pt>
                  <c:pt idx="6">
                    <c:v>n</c:v>
                  </c:pt>
                </c:lvl>
              </c:multiLvlStrCache>
            </c:multiLvlStrRef>
          </c:cat>
          <c:val>
            <c:numRef>
              <c:f>'Sheet1 (2)'!$B$39:$I$39</c:f>
              <c:numCache>
                <c:formatCode>0.00_ </c:formatCode>
                <c:ptCount val="8"/>
                <c:pt idx="0">
                  <c:v>-20</c:v>
                </c:pt>
                <c:pt idx="1">
                  <c:v>-20</c:v>
                </c:pt>
                <c:pt idx="2">
                  <c:v>-20</c:v>
                </c:pt>
                <c:pt idx="3">
                  <c:v>-20</c:v>
                </c:pt>
                <c:pt idx="4">
                  <c:v>-20</c:v>
                </c:pt>
                <c:pt idx="5">
                  <c:v>-20</c:v>
                </c:pt>
                <c:pt idx="6">
                  <c:v>-20</c:v>
                </c:pt>
                <c:pt idx="7">
                  <c:v>-20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7AA-47EC-AE58-E4DB75304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3584512"/>
        <c:axId val="2123572560"/>
      </c:lineChart>
      <c:catAx>
        <c:axId val="136358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123572560"/>
        <c:crossesAt val="0"/>
        <c:auto val="1"/>
        <c:lblAlgn val="ctr"/>
        <c:lblOffset val="100"/>
        <c:noMultiLvlLbl val="0"/>
      </c:catAx>
      <c:valAx>
        <c:axId val="2123572560"/>
        <c:scaling>
          <c:orientation val="minMax"/>
          <c:max val="120"/>
          <c:min val="-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363584512"/>
        <c:crosses val="autoZero"/>
        <c:crossBetween val="midCat"/>
        <c:majorUnit val="20"/>
      </c:valAx>
      <c:spPr>
        <a:noFill/>
        <a:ln w="6350">
          <a:solidFill>
            <a:schemeClr val="tx1">
              <a:lumMod val="50000"/>
              <a:lumOff val="5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1.1908573928258968E-2"/>
                  <c:y val="6.744998541848935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Sheet1!$L$7:$L$30</c:f>
              <c:numCache>
                <c:formatCode>General</c:formatCode>
                <c:ptCount val="24"/>
                <c:pt idx="0">
                  <c:v>33</c:v>
                </c:pt>
                <c:pt idx="1">
                  <c:v>32</c:v>
                </c:pt>
                <c:pt idx="2">
                  <c:v>31</c:v>
                </c:pt>
                <c:pt idx="3">
                  <c:v>30</c:v>
                </c:pt>
                <c:pt idx="4">
                  <c:v>29</c:v>
                </c:pt>
                <c:pt idx="5">
                  <c:v>28</c:v>
                </c:pt>
                <c:pt idx="6">
                  <c:v>26</c:v>
                </c:pt>
                <c:pt idx="7">
                  <c:v>24</c:v>
                </c:pt>
                <c:pt idx="8">
                  <c:v>22</c:v>
                </c:pt>
                <c:pt idx="9">
                  <c:v>20</c:v>
                </c:pt>
                <c:pt idx="10">
                  <c:v>18</c:v>
                </c:pt>
                <c:pt idx="11">
                  <c:v>16</c:v>
                </c:pt>
                <c:pt idx="12">
                  <c:v>14</c:v>
                </c:pt>
                <c:pt idx="13">
                  <c:v>12</c:v>
                </c:pt>
                <c:pt idx="14">
                  <c:v>10</c:v>
                </c:pt>
                <c:pt idx="15">
                  <c:v>9</c:v>
                </c:pt>
                <c:pt idx="16">
                  <c:v>8</c:v>
                </c:pt>
                <c:pt idx="17">
                  <c:v>7</c:v>
                </c:pt>
                <c:pt idx="18">
                  <c:v>6</c:v>
                </c:pt>
                <c:pt idx="19">
                  <c:v>5</c:v>
                </c:pt>
                <c:pt idx="20">
                  <c:v>4</c:v>
                </c:pt>
                <c:pt idx="21">
                  <c:v>3</c:v>
                </c:pt>
                <c:pt idx="22">
                  <c:v>2</c:v>
                </c:pt>
                <c:pt idx="23">
                  <c:v>1</c:v>
                </c:pt>
              </c:numCache>
            </c:numRef>
          </c:xVal>
          <c:yVal>
            <c:numRef>
              <c:f>Sheet1!$M$7:$M$30</c:f>
              <c:numCache>
                <c:formatCode>General</c:formatCode>
                <c:ptCount val="24"/>
                <c:pt idx="0">
                  <c:v>1.0998884630071768</c:v>
                </c:pt>
                <c:pt idx="1">
                  <c:v>1.1141592055228418</c:v>
                </c:pt>
                <c:pt idx="2">
                  <c:v>1.1284290826432273</c:v>
                </c:pt>
                <c:pt idx="3">
                  <c:v>1.1426980078288054</c:v>
                </c:pt>
                <c:pt idx="4">
                  <c:v>1.1568917932335014</c:v>
                </c:pt>
                <c:pt idx="5">
                  <c:v>1.1712382785285893</c:v>
                </c:pt>
                <c:pt idx="6">
                  <c:v>1.199777295810323</c:v>
                </c:pt>
                <c:pt idx="7">
                  <c:v>1.2283180620474754</c:v>
                </c:pt>
                <c:pt idx="8">
                  <c:v>1.25685743707009</c:v>
                </c:pt>
                <c:pt idx="9">
                  <c:v>1.2853989823873835</c:v>
                </c:pt>
                <c:pt idx="10">
                  <c:v>1.3139390004602736</c:v>
                </c:pt>
                <c:pt idx="11">
                  <c:v>1.3424769185721088</c:v>
                </c:pt>
                <c:pt idx="12">
                  <c:v>1.3710175208446909</c:v>
                </c:pt>
                <c:pt idx="13">
                  <c:v>1.3995555179024304</c:v>
                </c:pt>
                <c:pt idx="14">
                  <c:v>1.4280973043635767</c:v>
                </c:pt>
                <c:pt idx="15">
                  <c:v>1.44236819759415</c:v>
                </c:pt>
                <c:pt idx="16">
                  <c:v>1.4566357750967422</c:v>
                </c:pt>
                <c:pt idx="17">
                  <c:v>1.4709099840552968</c:v>
                </c:pt>
                <c:pt idx="18">
                  <c:v>1.4851808772858701</c:v>
                </c:pt>
                <c:pt idx="19">
                  <c:v>1.4994464653516735</c:v>
                </c:pt>
                <c:pt idx="20">
                  <c:v>1.5137226637470167</c:v>
                </c:pt>
                <c:pt idx="21">
                  <c:v>1.52799355697759</c:v>
                </c:pt>
                <c:pt idx="22">
                  <c:v>1.542251187296239</c:v>
                </c:pt>
                <c:pt idx="23">
                  <c:v>1.5565812509947476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A9-49DA-8DD1-EC2FF3E23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587663"/>
        <c:axId val="550245375"/>
      </c:scatterChart>
      <c:valAx>
        <c:axId val="233587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0245375"/>
        <c:crosses val="autoZero"/>
        <c:crossBetween val="midCat"/>
      </c:valAx>
      <c:valAx>
        <c:axId val="550245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3587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65689</xdr:colOff>
      <xdr:row>0</xdr:row>
      <xdr:rowOff>32845</xdr:rowOff>
    </xdr:from>
    <xdr:to>
      <xdr:col>11</xdr:col>
      <xdr:colOff>256760</xdr:colOff>
      <xdr:row>17</xdr:row>
      <xdr:rowOff>137949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69C777-5B38-4566-98BE-4C0185341A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219075</xdr:colOff>
      <xdr:row>3</xdr:row>
      <xdr:rowOff>138112</xdr:rowOff>
    </xdr:from>
    <xdr:to>
      <xdr:col>22</xdr:col>
      <xdr:colOff>523875</xdr:colOff>
      <xdr:row>34</xdr:row>
      <xdr:rowOff>80962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FD21C3B-9A6D-493A-8F15-0A4D58C752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wr/Downloads/box-plo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0">
          <cell r="B20" t="str">
            <v>a</v>
          </cell>
          <cell r="C20" t="str">
            <v>b</v>
          </cell>
          <cell r="D20" t="str">
            <v>c</v>
          </cell>
          <cell r="E20" t="str">
            <v>d</v>
          </cell>
          <cell r="F20" t="str">
            <v>e</v>
          </cell>
          <cell r="G20" t="str">
            <v>f</v>
          </cell>
        </row>
        <row r="21">
          <cell r="B21">
            <v>22</v>
          </cell>
          <cell r="C21">
            <v>12.079733103016904</v>
          </cell>
          <cell r="D21">
            <v>30</v>
          </cell>
          <cell r="E21">
            <v>40</v>
          </cell>
          <cell r="F21">
            <v>10</v>
          </cell>
          <cell r="G21">
            <v>22</v>
          </cell>
        </row>
        <row r="22">
          <cell r="B22">
            <v>17.5</v>
          </cell>
          <cell r="C22">
            <v>5.6035799029817479</v>
          </cell>
          <cell r="D22">
            <v>52</v>
          </cell>
          <cell r="E22">
            <v>15</v>
          </cell>
          <cell r="F22">
            <v>65.25</v>
          </cell>
          <cell r="G22">
            <v>13</v>
          </cell>
        </row>
        <row r="23">
          <cell r="B23">
            <v>23</v>
          </cell>
          <cell r="C23">
            <v>4.1868984840919374</v>
          </cell>
          <cell r="D23">
            <v>10</v>
          </cell>
          <cell r="E23">
            <v>38</v>
          </cell>
          <cell r="F23">
            <v>8.25</v>
          </cell>
          <cell r="G23">
            <v>9</v>
          </cell>
        </row>
        <row r="24">
          <cell r="B24">
            <v>17.5</v>
          </cell>
          <cell r="C24">
            <v>11.994039851881944</v>
          </cell>
          <cell r="D24">
            <v>7</v>
          </cell>
          <cell r="E24">
            <v>23</v>
          </cell>
          <cell r="F24">
            <v>10.25</v>
          </cell>
          <cell r="G24">
            <v>12</v>
          </cell>
        </row>
        <row r="25">
          <cell r="B25">
            <v>28</v>
          </cell>
          <cell r="C25">
            <v>44.740299428723247</v>
          </cell>
          <cell r="D25">
            <v>46</v>
          </cell>
          <cell r="E25">
            <v>22</v>
          </cell>
          <cell r="F25">
            <v>46.25</v>
          </cell>
          <cell r="G25">
            <v>74</v>
          </cell>
        </row>
        <row r="26"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</row>
        <row r="28"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</row>
        <row r="29"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</row>
        <row r="30"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</row>
        <row r="31">
          <cell r="B31" t="e">
            <v>#N/A</v>
          </cell>
          <cell r="C31">
            <v>78.604550770695781</v>
          </cell>
          <cell r="D31">
            <v>145</v>
          </cell>
          <cell r="E31" t="e">
            <v>#N/A</v>
          </cell>
          <cell r="F31">
            <v>140</v>
          </cell>
          <cell r="G31">
            <v>130</v>
          </cell>
        </row>
        <row r="32">
          <cell r="B32">
            <v>28</v>
          </cell>
          <cell r="C32">
            <v>24.271407503960823</v>
          </cell>
          <cell r="D32">
            <v>25.5</v>
          </cell>
          <cell r="E32">
            <v>22</v>
          </cell>
          <cell r="F32">
            <v>27.75</v>
          </cell>
          <cell r="G32">
            <v>31.5</v>
          </cell>
        </row>
        <row r="33">
          <cell r="B33" t="e">
            <v>#N/A</v>
          </cell>
          <cell r="C33" t="e">
            <v>#N/A</v>
          </cell>
          <cell r="D33" t="e">
            <v>#N/A</v>
          </cell>
          <cell r="E33" t="e">
            <v>#N/A</v>
          </cell>
          <cell r="F33" t="e">
            <v>#N/A</v>
          </cell>
          <cell r="G33" t="e">
            <v>#N/A</v>
          </cell>
        </row>
        <row r="34">
          <cell r="B34">
            <v>17.5</v>
          </cell>
          <cell r="C34">
            <v>5.6035799029817479</v>
          </cell>
          <cell r="D34">
            <v>25.5</v>
          </cell>
          <cell r="E34">
            <v>15</v>
          </cell>
          <cell r="F34">
            <v>27.75</v>
          </cell>
          <cell r="G34">
            <v>13</v>
          </cell>
        </row>
        <row r="35">
          <cell r="B35" t="e">
            <v>#N/A</v>
          </cell>
          <cell r="C35" t="e">
            <v>#N/A</v>
          </cell>
          <cell r="D35" t="e">
            <v>#N/A</v>
          </cell>
          <cell r="E35" t="e">
            <v>#N/A</v>
          </cell>
          <cell r="F35" t="e">
            <v>#N/A</v>
          </cell>
          <cell r="G35" t="e">
            <v>#N/A</v>
          </cell>
        </row>
        <row r="36">
          <cell r="B36" t="e">
            <v>#N/A</v>
          </cell>
          <cell r="C36" t="e">
            <v>#N/A</v>
          </cell>
          <cell r="D36">
            <v>30</v>
          </cell>
          <cell r="E36" t="e">
            <v>#N/A</v>
          </cell>
          <cell r="F36">
            <v>10</v>
          </cell>
          <cell r="G36" t="e">
            <v>#N/A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E3259-B09B-43EC-AE71-6A9FCF6A48F8}">
  <sheetPr codeName="Sheet7"/>
  <dimension ref="A19:J80"/>
  <sheetViews>
    <sheetView tabSelected="1" zoomScale="115" zoomScaleNormal="115" workbookViewId="0">
      <selection activeCell="A20" sqref="A20:J20"/>
    </sheetView>
  </sheetViews>
  <sheetFormatPr defaultRowHeight="13.5" x14ac:dyDescent="0.25"/>
  <cols>
    <col min="1" max="1" width="9.28515625" style="13" bestFit="1" customWidth="1"/>
    <col min="2" max="2" width="0.28515625" style="14" customWidth="1"/>
    <col min="3" max="3" width="9.140625" style="14" customWidth="1"/>
    <col min="4" max="4" width="6.85546875" style="14" bestFit="1" customWidth="1"/>
    <col min="5" max="5" width="7.28515625" style="14" bestFit="1" customWidth="1"/>
    <col min="6" max="6" width="9.140625" style="14" bestFit="1" customWidth="1"/>
    <col min="7" max="7" width="7.28515625" style="14" bestFit="1" customWidth="1"/>
    <col min="8" max="8" width="7.28515625" style="14" customWidth="1"/>
    <col min="9" max="9" width="0.28515625" style="14" customWidth="1"/>
    <col min="10" max="10" width="7.28515625" style="6" customWidth="1"/>
    <col min="11" max="16384" width="9.140625" style="6"/>
  </cols>
  <sheetData>
    <row r="19" spans="1:10" x14ac:dyDescent="0.25">
      <c r="A19" s="6"/>
      <c r="B19" s="6"/>
      <c r="C19" s="6"/>
      <c r="D19" s="6"/>
      <c r="E19" s="6"/>
      <c r="F19" s="6"/>
      <c r="G19" s="6"/>
      <c r="H19" s="6"/>
      <c r="I19" s="6"/>
    </row>
    <row r="20" spans="1:10" x14ac:dyDescent="0.25">
      <c r="A20" s="7"/>
      <c r="B20" s="7"/>
      <c r="C20" s="17" t="s">
        <v>24</v>
      </c>
      <c r="D20" s="18"/>
      <c r="E20" s="19"/>
      <c r="F20" s="7" t="s">
        <v>26</v>
      </c>
      <c r="G20" s="7" t="s">
        <v>26</v>
      </c>
      <c r="H20" s="7" t="s">
        <v>26</v>
      </c>
      <c r="I20" s="7"/>
      <c r="J20" s="20"/>
    </row>
    <row r="21" spans="1:10" x14ac:dyDescent="0.25">
      <c r="A21" s="15" t="s">
        <v>7</v>
      </c>
      <c r="B21" s="16"/>
      <c r="C21" s="16" t="s">
        <v>24</v>
      </c>
      <c r="D21" s="16" t="s">
        <v>8</v>
      </c>
      <c r="E21" s="16" t="s">
        <v>9</v>
      </c>
      <c r="F21" s="16" t="s">
        <v>10</v>
      </c>
      <c r="G21" s="16" t="s">
        <v>11</v>
      </c>
      <c r="H21" s="16" t="s">
        <v>25</v>
      </c>
      <c r="I21" s="16"/>
    </row>
    <row r="22" spans="1:10" x14ac:dyDescent="0.25">
      <c r="A22" s="7" t="s">
        <v>12</v>
      </c>
      <c r="B22" s="8"/>
      <c r="C22" s="8">
        <f t="shared" ref="C22" si="0">box_u_blank(C40:C79)</f>
        <v>22</v>
      </c>
      <c r="D22" s="8">
        <f t="shared" ref="D22:G22" si="1">box_u_blank(D40:D79)</f>
        <v>12.079733103016904</v>
      </c>
      <c r="E22" s="8">
        <f t="shared" si="1"/>
        <v>30</v>
      </c>
      <c r="F22" s="8">
        <f t="shared" si="1"/>
        <v>40</v>
      </c>
      <c r="G22" s="8">
        <f t="shared" si="1"/>
        <v>10</v>
      </c>
      <c r="H22" s="8">
        <f t="shared" ref="H22" si="2">box_u_blank(H40:H79)</f>
        <v>22</v>
      </c>
      <c r="I22" s="8"/>
    </row>
    <row r="23" spans="1:10" x14ac:dyDescent="0.25">
      <c r="A23" s="7" t="s">
        <v>13</v>
      </c>
      <c r="B23" s="8"/>
      <c r="C23" s="8">
        <f t="shared" ref="C23" si="3">box_u_0p_25p(C40:C79)</f>
        <v>17.5</v>
      </c>
      <c r="D23" s="8">
        <f t="shared" ref="D23:G23" si="4">box_u_0p_25p(D40:D79)</f>
        <v>5.6035799029817479</v>
      </c>
      <c r="E23" s="8">
        <f t="shared" si="4"/>
        <v>52</v>
      </c>
      <c r="F23" s="8">
        <f t="shared" si="4"/>
        <v>15</v>
      </c>
      <c r="G23" s="8">
        <f t="shared" si="4"/>
        <v>65.25</v>
      </c>
      <c r="H23" s="8">
        <f t="shared" ref="H23" si="5">box_u_0p_25p(H40:H79)</f>
        <v>13</v>
      </c>
      <c r="I23" s="8"/>
    </row>
    <row r="24" spans="1:10" x14ac:dyDescent="0.25">
      <c r="A24" s="7" t="s">
        <v>14</v>
      </c>
      <c r="B24" s="8"/>
      <c r="C24" s="8">
        <f t="shared" ref="C24" si="6">box_u_25p_50p(C40:C79)</f>
        <v>23</v>
      </c>
      <c r="D24" s="8">
        <f t="shared" ref="D24:G24" si="7">box_u_25p_50p(D40:D79)</f>
        <v>4.1868984840919374</v>
      </c>
      <c r="E24" s="8">
        <f t="shared" si="7"/>
        <v>10</v>
      </c>
      <c r="F24" s="8">
        <f t="shared" si="7"/>
        <v>38</v>
      </c>
      <c r="G24" s="8">
        <f t="shared" si="7"/>
        <v>8.25</v>
      </c>
      <c r="H24" s="8">
        <f t="shared" ref="H24" si="8">box_u_25p_50p(H40:H79)</f>
        <v>9</v>
      </c>
      <c r="I24" s="8"/>
    </row>
    <row r="25" spans="1:10" x14ac:dyDescent="0.25">
      <c r="A25" s="7" t="s">
        <v>15</v>
      </c>
      <c r="B25" s="8"/>
      <c r="C25" s="8">
        <f t="shared" ref="C25" si="9">box_u_50p_75p(C40:C79)</f>
        <v>17.5</v>
      </c>
      <c r="D25" s="8">
        <f t="shared" ref="D25:G25" si="10">box_u_50p_75p(D40:D79)</f>
        <v>11.994039851881944</v>
      </c>
      <c r="E25" s="8">
        <f t="shared" si="10"/>
        <v>7</v>
      </c>
      <c r="F25" s="8">
        <f t="shared" si="10"/>
        <v>23</v>
      </c>
      <c r="G25" s="8">
        <f t="shared" si="10"/>
        <v>10.25</v>
      </c>
      <c r="H25" s="8">
        <f t="shared" ref="H25" si="11">box_u_50p_75p(H40:H79)</f>
        <v>12</v>
      </c>
      <c r="I25" s="8"/>
    </row>
    <row r="26" spans="1:10" x14ac:dyDescent="0.25">
      <c r="A26" s="7" t="s">
        <v>16</v>
      </c>
      <c r="B26" s="8"/>
      <c r="C26" s="8">
        <f t="shared" ref="C26" si="12">box_u_75p_100p(C40:C79)</f>
        <v>28</v>
      </c>
      <c r="D26" s="8">
        <f t="shared" ref="D26:G26" si="13">box_u_75p_100p(D40:D79)</f>
        <v>44.740299428723247</v>
      </c>
      <c r="E26" s="8">
        <f t="shared" si="13"/>
        <v>46</v>
      </c>
      <c r="F26" s="8">
        <f t="shared" si="13"/>
        <v>22</v>
      </c>
      <c r="G26" s="8">
        <f t="shared" si="13"/>
        <v>46.25</v>
      </c>
      <c r="H26" s="8">
        <f t="shared" ref="H26" si="14">box_u_75p_100p(H40:H79)</f>
        <v>74</v>
      </c>
      <c r="I26" s="8"/>
    </row>
    <row r="27" spans="1:10" x14ac:dyDescent="0.25">
      <c r="A27" s="7" t="s">
        <v>12</v>
      </c>
      <c r="B27" s="8"/>
      <c r="C27" s="8">
        <f t="shared" ref="C27" si="15">box_b_blank(C40:C79)</f>
        <v>0</v>
      </c>
      <c r="D27" s="8">
        <f t="shared" ref="D27:G27" si="16">box_b_blank(D40:D79)</f>
        <v>0</v>
      </c>
      <c r="E27" s="8">
        <f t="shared" si="16"/>
        <v>0</v>
      </c>
      <c r="F27" s="8">
        <f t="shared" si="16"/>
        <v>0</v>
      </c>
      <c r="G27" s="8">
        <f t="shared" si="16"/>
        <v>0</v>
      </c>
      <c r="H27" s="8">
        <f t="shared" ref="H27" si="17">box_b_blank(H40:H79)</f>
        <v>0</v>
      </c>
      <c r="I27" s="8"/>
    </row>
    <row r="28" spans="1:10" x14ac:dyDescent="0.25">
      <c r="A28" s="7" t="s">
        <v>16</v>
      </c>
      <c r="B28" s="8"/>
      <c r="C28" s="8">
        <f t="shared" ref="C28" si="18">box_b_75p_100p(C40:C79)</f>
        <v>0</v>
      </c>
      <c r="D28" s="8">
        <f t="shared" ref="D28:G28" si="19">box_b_75p_100p(D40:D79)</f>
        <v>0</v>
      </c>
      <c r="E28" s="8">
        <f t="shared" si="19"/>
        <v>0</v>
      </c>
      <c r="F28" s="8">
        <f t="shared" si="19"/>
        <v>0</v>
      </c>
      <c r="G28" s="8">
        <f t="shared" si="19"/>
        <v>0</v>
      </c>
      <c r="H28" s="8">
        <f t="shared" ref="H28" si="20">box_b_75p_100p(H40:H79)</f>
        <v>0</v>
      </c>
      <c r="I28" s="8"/>
    </row>
    <row r="29" spans="1:10" x14ac:dyDescent="0.25">
      <c r="A29" s="7" t="s">
        <v>15</v>
      </c>
      <c r="B29" s="8"/>
      <c r="C29" s="8">
        <f t="shared" ref="C29" si="21">box_b_50p_75p(C40:C79)</f>
        <v>0</v>
      </c>
      <c r="D29" s="8">
        <f t="shared" ref="D29:G29" si="22">box_b_50p_75p(D40:D79)</f>
        <v>0</v>
      </c>
      <c r="E29" s="8">
        <f t="shared" si="22"/>
        <v>0</v>
      </c>
      <c r="F29" s="8">
        <f t="shared" si="22"/>
        <v>0</v>
      </c>
      <c r="G29" s="8">
        <f t="shared" si="22"/>
        <v>0</v>
      </c>
      <c r="H29" s="8">
        <f t="shared" ref="H29" si="23">box_b_50p_75p(H40:H79)</f>
        <v>0</v>
      </c>
      <c r="I29" s="8"/>
    </row>
    <row r="30" spans="1:10" x14ac:dyDescent="0.25">
      <c r="A30" s="7" t="s">
        <v>14</v>
      </c>
      <c r="B30" s="8"/>
      <c r="C30" s="8">
        <f t="shared" ref="C30" si="24">box_b_25p_50p(C40:C79)</f>
        <v>0</v>
      </c>
      <c r="D30" s="8">
        <f t="shared" ref="D30:G30" si="25">box_b_25p_50p(D40:D79)</f>
        <v>0</v>
      </c>
      <c r="E30" s="8">
        <f t="shared" si="25"/>
        <v>0</v>
      </c>
      <c r="F30" s="8">
        <f t="shared" si="25"/>
        <v>0</v>
      </c>
      <c r="G30" s="8">
        <f t="shared" si="25"/>
        <v>0</v>
      </c>
      <c r="H30" s="8">
        <f t="shared" ref="H30" si="26">box_b_25p_50p(H40:H79)</f>
        <v>0</v>
      </c>
      <c r="I30" s="8"/>
    </row>
    <row r="31" spans="1:10" x14ac:dyDescent="0.25">
      <c r="A31" s="7" t="s">
        <v>13</v>
      </c>
      <c r="B31" s="8"/>
      <c r="C31" s="8">
        <f t="shared" ref="C31" si="27">box_b_0p_25p(C40:C79)</f>
        <v>0</v>
      </c>
      <c r="D31" s="8">
        <f t="shared" ref="D31:G31" si="28">box_b_0p_25p(D40:D79)</f>
        <v>0</v>
      </c>
      <c r="E31" s="8">
        <f t="shared" si="28"/>
        <v>0</v>
      </c>
      <c r="F31" s="8">
        <f t="shared" si="28"/>
        <v>0</v>
      </c>
      <c r="G31" s="8">
        <f t="shared" si="28"/>
        <v>0</v>
      </c>
      <c r="H31" s="8">
        <f t="shared" ref="H31" si="29">box_b_0p_25p(H40:H79)</f>
        <v>0</v>
      </c>
      <c r="I31" s="8"/>
    </row>
    <row r="32" spans="1:10" x14ac:dyDescent="0.25">
      <c r="A32" s="7" t="s">
        <v>17</v>
      </c>
      <c r="B32" s="8"/>
      <c r="C32" s="8" t="e">
        <f t="shared" ref="C32" si="30">box_u_outlier(C40:C79)</f>
        <v>#N/A</v>
      </c>
      <c r="D32" s="8">
        <f t="shared" ref="D32:G32" si="31">box_u_outlier(D40:D79)</f>
        <v>78.604550770695781</v>
      </c>
      <c r="E32" s="8">
        <f t="shared" si="31"/>
        <v>145</v>
      </c>
      <c r="F32" s="8" t="e">
        <f t="shared" si="31"/>
        <v>#N/A</v>
      </c>
      <c r="G32" s="8">
        <f t="shared" si="31"/>
        <v>140</v>
      </c>
      <c r="H32" s="8">
        <f t="shared" ref="H32" si="32">box_u_outlier(H40:H79)</f>
        <v>130</v>
      </c>
      <c r="I32" s="8"/>
    </row>
    <row r="33" spans="1:9" x14ac:dyDescent="0.25">
      <c r="A33" s="7" t="s">
        <v>18</v>
      </c>
      <c r="B33" s="8"/>
      <c r="C33" s="8">
        <f t="shared" ref="C33" si="33">box_u_uwhisker(C40:C79)</f>
        <v>28</v>
      </c>
      <c r="D33" s="8">
        <f t="shared" ref="D33:G33" si="34">box_u_uwhisker(D40:D79)</f>
        <v>24.271407503960823</v>
      </c>
      <c r="E33" s="8">
        <f t="shared" si="34"/>
        <v>25.5</v>
      </c>
      <c r="F33" s="8">
        <f t="shared" si="34"/>
        <v>22</v>
      </c>
      <c r="G33" s="8">
        <f t="shared" si="34"/>
        <v>27.75</v>
      </c>
      <c r="H33" s="8">
        <f t="shared" ref="H33" si="35">box_u_uwhisker(H40:H79)</f>
        <v>31.5</v>
      </c>
      <c r="I33" s="8"/>
    </row>
    <row r="34" spans="1:9" x14ac:dyDescent="0.25">
      <c r="A34" s="7" t="s">
        <v>18</v>
      </c>
      <c r="B34" s="8"/>
      <c r="C34" s="8" t="e">
        <f t="shared" ref="C34" si="36">box_d_uwhisker(C40:C79)</f>
        <v>#N/A</v>
      </c>
      <c r="D34" s="8" t="e">
        <f t="shared" ref="D34:G34" si="37">box_d_uwhisker(D40:D79)</f>
        <v>#N/A</v>
      </c>
      <c r="E34" s="8" t="e">
        <f t="shared" si="37"/>
        <v>#N/A</v>
      </c>
      <c r="F34" s="8" t="e">
        <f t="shared" si="37"/>
        <v>#N/A</v>
      </c>
      <c r="G34" s="8" t="e">
        <f t="shared" si="37"/>
        <v>#N/A</v>
      </c>
      <c r="H34" s="8" t="e">
        <f t="shared" ref="H34" si="38">box_d_uwhisker(H40:H79)</f>
        <v>#N/A</v>
      </c>
      <c r="I34" s="8"/>
    </row>
    <row r="35" spans="1:9" x14ac:dyDescent="0.25">
      <c r="A35" s="7" t="s">
        <v>19</v>
      </c>
      <c r="B35" s="8"/>
      <c r="C35" s="8">
        <f t="shared" ref="C35" si="39">box_u_lwhisker(C40:C79)</f>
        <v>17.5</v>
      </c>
      <c r="D35" s="8">
        <f t="shared" ref="D35:G35" si="40">box_u_lwhisker(D40:D79)</f>
        <v>5.6035799029817479</v>
      </c>
      <c r="E35" s="8">
        <f t="shared" si="40"/>
        <v>25.5</v>
      </c>
      <c r="F35" s="8">
        <f t="shared" si="40"/>
        <v>15</v>
      </c>
      <c r="G35" s="8">
        <f t="shared" si="40"/>
        <v>27.75</v>
      </c>
      <c r="H35" s="8">
        <f t="shared" ref="H35" si="41">box_u_lwhisker(H40:H79)</f>
        <v>13</v>
      </c>
      <c r="I35" s="8"/>
    </row>
    <row r="36" spans="1:9" x14ac:dyDescent="0.25">
      <c r="A36" s="7" t="s">
        <v>19</v>
      </c>
      <c r="B36" s="8"/>
      <c r="C36" s="8" t="e">
        <f t="shared" ref="C36" si="42">box_d_lwhisker(C40:C79)</f>
        <v>#N/A</v>
      </c>
      <c r="D36" s="8" t="e">
        <f t="shared" ref="D36:G36" si="43">box_d_lwhisker(D40:D79)</f>
        <v>#N/A</v>
      </c>
      <c r="E36" s="8" t="e">
        <f t="shared" si="43"/>
        <v>#N/A</v>
      </c>
      <c r="F36" s="8" t="e">
        <f t="shared" si="43"/>
        <v>#N/A</v>
      </c>
      <c r="G36" s="8" t="e">
        <f t="shared" si="43"/>
        <v>#N/A</v>
      </c>
      <c r="H36" s="8" t="e">
        <f t="shared" ref="H36" si="44">box_d_lwhisker(H40:H79)</f>
        <v>#N/A</v>
      </c>
      <c r="I36" s="8"/>
    </row>
    <row r="37" spans="1:9" x14ac:dyDescent="0.25">
      <c r="A37" s="7" t="s">
        <v>20</v>
      </c>
      <c r="B37" s="8"/>
      <c r="C37" s="8" t="e">
        <f t="shared" ref="C37" si="45">box_l_outlier(C40:C79)</f>
        <v>#N/A</v>
      </c>
      <c r="D37" s="8" t="e">
        <f t="shared" ref="D37:G37" si="46">box_l_outlier(D40:D79)</f>
        <v>#N/A</v>
      </c>
      <c r="E37" s="8">
        <f t="shared" si="46"/>
        <v>30</v>
      </c>
      <c r="F37" s="8" t="e">
        <f t="shared" si="46"/>
        <v>#N/A</v>
      </c>
      <c r="G37" s="8">
        <f t="shared" si="46"/>
        <v>10</v>
      </c>
      <c r="H37" s="8" t="e">
        <f t="shared" ref="H37" si="47">box_l_outlier(H40:H79)</f>
        <v>#N/A</v>
      </c>
      <c r="I37" s="8"/>
    </row>
    <row r="38" spans="1:9" x14ac:dyDescent="0.25">
      <c r="A38" s="7" t="s">
        <v>22</v>
      </c>
      <c r="B38" s="8">
        <v>120</v>
      </c>
      <c r="C38" s="8">
        <f>B38</f>
        <v>120</v>
      </c>
      <c r="D38" s="8">
        <f t="shared" ref="D38:H38" si="48">C38</f>
        <v>120</v>
      </c>
      <c r="E38" s="8">
        <f t="shared" si="48"/>
        <v>120</v>
      </c>
      <c r="F38" s="8">
        <f t="shared" si="48"/>
        <v>120</v>
      </c>
      <c r="G38" s="8">
        <f t="shared" si="48"/>
        <v>120</v>
      </c>
      <c r="H38" s="8">
        <f t="shared" si="48"/>
        <v>120</v>
      </c>
      <c r="I38" s="8">
        <f t="shared" ref="I38" si="49">H38</f>
        <v>120</v>
      </c>
    </row>
    <row r="39" spans="1:9" x14ac:dyDescent="0.25">
      <c r="A39" s="7" t="s">
        <v>23</v>
      </c>
      <c r="B39" s="8">
        <v>-20</v>
      </c>
      <c r="C39" s="8">
        <f>B39</f>
        <v>-20</v>
      </c>
      <c r="D39" s="8">
        <f t="shared" ref="D39:H39" si="50">C39</f>
        <v>-20</v>
      </c>
      <c r="E39" s="8">
        <f t="shared" si="50"/>
        <v>-20</v>
      </c>
      <c r="F39" s="8">
        <f t="shared" si="50"/>
        <v>-20</v>
      </c>
      <c r="G39" s="8">
        <f t="shared" si="50"/>
        <v>-20</v>
      </c>
      <c r="H39" s="8">
        <f t="shared" si="50"/>
        <v>-20</v>
      </c>
      <c r="I39" s="8">
        <f t="shared" ref="I39" si="51">H39</f>
        <v>-20</v>
      </c>
    </row>
    <row r="40" spans="1:9" x14ac:dyDescent="0.25">
      <c r="A40" s="7">
        <v>1</v>
      </c>
      <c r="B40" s="9"/>
      <c r="C40" s="9">
        <v>52</v>
      </c>
      <c r="D40" s="9">
        <v>18.158814202847161</v>
      </c>
      <c r="E40" s="9">
        <v>102</v>
      </c>
      <c r="F40" s="9">
        <v>116</v>
      </c>
      <c r="G40" s="9">
        <v>98</v>
      </c>
      <c r="H40" s="9">
        <v>31</v>
      </c>
      <c r="I40" s="9"/>
    </row>
    <row r="41" spans="1:9" x14ac:dyDescent="0.25">
      <c r="A41" s="7">
        <v>2</v>
      </c>
      <c r="B41" s="9"/>
      <c r="C41" s="9">
        <v>63</v>
      </c>
      <c r="D41" s="9">
        <v>17.014400814718055</v>
      </c>
      <c r="E41" s="9">
        <v>99</v>
      </c>
      <c r="F41" s="9">
        <v>98</v>
      </c>
      <c r="G41" s="9">
        <v>97</v>
      </c>
      <c r="H41" s="9">
        <v>35</v>
      </c>
      <c r="I41" s="9"/>
    </row>
    <row r="42" spans="1:9" x14ac:dyDescent="0.25">
      <c r="A42" s="7">
        <v>3</v>
      </c>
      <c r="B42" s="9"/>
      <c r="C42" s="9">
        <v>107</v>
      </c>
      <c r="D42" s="9">
        <v>48.031902726373154</v>
      </c>
      <c r="E42" s="9">
        <v>102</v>
      </c>
      <c r="F42" s="9">
        <v>95</v>
      </c>
      <c r="G42" s="9">
        <v>94</v>
      </c>
      <c r="H42" s="9">
        <v>45</v>
      </c>
      <c r="I42" s="9"/>
    </row>
    <row r="43" spans="1:9" x14ac:dyDescent="0.25">
      <c r="A43" s="7">
        <v>4</v>
      </c>
      <c r="B43" s="9"/>
      <c r="C43" s="9">
        <v>54</v>
      </c>
      <c r="D43" s="9">
        <v>30.536229662009877</v>
      </c>
      <c r="E43" s="9">
        <v>100</v>
      </c>
      <c r="F43" s="9">
        <v>67</v>
      </c>
      <c r="G43" s="9">
        <v>98</v>
      </c>
      <c r="H43" s="9">
        <v>29</v>
      </c>
      <c r="I43" s="9"/>
    </row>
    <row r="44" spans="1:9" x14ac:dyDescent="0.25">
      <c r="A44" s="7">
        <v>5</v>
      </c>
      <c r="B44" s="9"/>
      <c r="C44" s="9">
        <v>79</v>
      </c>
      <c r="D44" s="9">
        <v>20.9232407071785</v>
      </c>
      <c r="E44" s="9">
        <v>106</v>
      </c>
      <c r="F44" s="9">
        <v>48</v>
      </c>
      <c r="G44" s="9">
        <v>96</v>
      </c>
      <c r="H44" s="9">
        <v>44</v>
      </c>
      <c r="I44" s="9"/>
    </row>
    <row r="45" spans="1:9" x14ac:dyDescent="0.25">
      <c r="A45" s="7">
        <v>6</v>
      </c>
      <c r="B45" s="9"/>
      <c r="C45" s="9">
        <v>80</v>
      </c>
      <c r="D45" s="9">
        <v>29.256477015400773</v>
      </c>
      <c r="E45" s="9">
        <v>91</v>
      </c>
      <c r="F45" s="9">
        <v>109</v>
      </c>
      <c r="G45" s="9">
        <v>83</v>
      </c>
      <c r="H45" s="9">
        <v>67</v>
      </c>
      <c r="I45" s="9"/>
    </row>
    <row r="46" spans="1:9" x14ac:dyDescent="0.25">
      <c r="A46" s="7">
        <v>7</v>
      </c>
      <c r="B46" s="9"/>
      <c r="C46" s="9">
        <v>108</v>
      </c>
      <c r="D46" s="9">
        <v>42.364023233732702</v>
      </c>
      <c r="E46" s="9">
        <v>82</v>
      </c>
      <c r="F46" s="9">
        <v>72</v>
      </c>
      <c r="G46" s="9">
        <v>75</v>
      </c>
      <c r="H46" s="9">
        <v>55</v>
      </c>
      <c r="I46" s="9"/>
    </row>
    <row r="47" spans="1:9" x14ac:dyDescent="0.25">
      <c r="A47" s="7">
        <v>8</v>
      </c>
      <c r="B47" s="9"/>
      <c r="C47" s="9">
        <v>80</v>
      </c>
      <c r="D47" s="9">
        <v>30.74898797632434</v>
      </c>
      <c r="E47" s="9">
        <v>84</v>
      </c>
      <c r="F47" s="9">
        <v>125</v>
      </c>
      <c r="G47" s="9">
        <v>76</v>
      </c>
      <c r="H47" s="9">
        <v>41</v>
      </c>
      <c r="I47" s="9"/>
    </row>
    <row r="48" spans="1:9" x14ac:dyDescent="0.25">
      <c r="A48" s="7">
        <v>9</v>
      </c>
      <c r="B48" s="9"/>
      <c r="C48" s="9">
        <v>78</v>
      </c>
      <c r="D48" s="9">
        <v>14.508174265705545</v>
      </c>
      <c r="E48" s="9">
        <v>75</v>
      </c>
      <c r="F48" s="9">
        <v>55</v>
      </c>
      <c r="G48" s="9">
        <v>72</v>
      </c>
      <c r="H48" s="9">
        <v>57</v>
      </c>
      <c r="I48" s="9"/>
    </row>
    <row r="49" spans="1:9" x14ac:dyDescent="0.25">
      <c r="A49" s="7">
        <v>10</v>
      </c>
      <c r="B49" s="9"/>
      <c r="C49" s="9">
        <v>106</v>
      </c>
      <c r="D49" s="9">
        <v>17.213458084033938</v>
      </c>
      <c r="E49" s="9">
        <v>93</v>
      </c>
      <c r="F49" s="9">
        <v>119</v>
      </c>
      <c r="G49" s="9">
        <v>84</v>
      </c>
      <c r="H49" s="9">
        <v>34</v>
      </c>
      <c r="I49" s="9"/>
    </row>
    <row r="50" spans="1:9" x14ac:dyDescent="0.25">
      <c r="A50" s="7">
        <v>11</v>
      </c>
      <c r="B50" s="9"/>
      <c r="C50" s="9">
        <v>80</v>
      </c>
      <c r="D50" s="9">
        <v>34.902672463855268</v>
      </c>
      <c r="E50" s="9">
        <v>98</v>
      </c>
      <c r="F50" s="9">
        <v>92</v>
      </c>
      <c r="G50" s="9">
        <v>89</v>
      </c>
      <c r="H50" s="9">
        <v>22</v>
      </c>
      <c r="I50" s="9"/>
    </row>
    <row r="51" spans="1:9" x14ac:dyDescent="0.25">
      <c r="A51" s="7">
        <v>12</v>
      </c>
      <c r="B51" s="9"/>
      <c r="C51" s="9">
        <v>61</v>
      </c>
      <c r="D51" s="9">
        <v>42.170589788562815</v>
      </c>
      <c r="E51" s="9">
        <v>97</v>
      </c>
      <c r="F51" s="9">
        <v>46</v>
      </c>
      <c r="G51" s="9">
        <v>90</v>
      </c>
      <c r="H51" s="9">
        <v>38</v>
      </c>
      <c r="I51" s="9"/>
    </row>
    <row r="52" spans="1:9" x14ac:dyDescent="0.25">
      <c r="A52" s="7">
        <v>13</v>
      </c>
      <c r="B52" s="9"/>
      <c r="C52" s="9">
        <v>42</v>
      </c>
      <c r="D52" s="9">
        <v>22.817182273002675</v>
      </c>
      <c r="E52" s="9">
        <v>99</v>
      </c>
      <c r="F52" s="9">
        <v>55</v>
      </c>
      <c r="G52" s="9">
        <v>92</v>
      </c>
      <c r="H52" s="9">
        <v>37</v>
      </c>
      <c r="I52" s="9"/>
    </row>
    <row r="53" spans="1:9" x14ac:dyDescent="0.25">
      <c r="A53" s="7">
        <v>14</v>
      </c>
      <c r="B53" s="9"/>
      <c r="C53" s="9">
        <v>104</v>
      </c>
      <c r="D53" s="9">
        <v>20.779527837848669</v>
      </c>
      <c r="E53" s="9">
        <v>96</v>
      </c>
      <c r="F53" s="9">
        <v>116</v>
      </c>
      <c r="G53" s="9">
        <v>95</v>
      </c>
      <c r="H53" s="9">
        <v>59</v>
      </c>
      <c r="I53" s="9"/>
    </row>
    <row r="54" spans="1:9" x14ac:dyDescent="0.25">
      <c r="A54" s="7">
        <v>15</v>
      </c>
      <c r="B54" s="9"/>
      <c r="C54" s="9">
        <v>39</v>
      </c>
      <c r="D54" s="9">
        <v>20.298678329331544</v>
      </c>
      <c r="E54" s="9">
        <v>92</v>
      </c>
      <c r="F54" s="9">
        <v>137</v>
      </c>
      <c r="G54" s="9">
        <v>91</v>
      </c>
      <c r="H54" s="9">
        <v>56</v>
      </c>
      <c r="I54" s="9"/>
    </row>
    <row r="55" spans="1:9" x14ac:dyDescent="0.25">
      <c r="A55" s="7">
        <v>16</v>
      </c>
      <c r="B55" s="9"/>
      <c r="C55" s="9">
        <v>104</v>
      </c>
      <c r="D55" s="9">
        <v>24.07374008893008</v>
      </c>
      <c r="E55" s="9">
        <v>108</v>
      </c>
      <c r="F55" s="9">
        <v>70</v>
      </c>
      <c r="G55" s="9">
        <v>99</v>
      </c>
      <c r="H55" s="9">
        <v>44</v>
      </c>
      <c r="I55" s="9"/>
    </row>
    <row r="56" spans="1:9" x14ac:dyDescent="0.25">
      <c r="A56" s="7">
        <v>17</v>
      </c>
      <c r="B56" s="9"/>
      <c r="C56" s="9">
        <v>59</v>
      </c>
      <c r="D56" s="9">
        <v>28.707235460806665</v>
      </c>
      <c r="E56" s="9">
        <v>102</v>
      </c>
      <c r="F56" s="9">
        <v>131</v>
      </c>
      <c r="G56" s="9">
        <v>100</v>
      </c>
      <c r="H56" s="9">
        <v>38</v>
      </c>
      <c r="I56" s="9"/>
    </row>
    <row r="57" spans="1:9" x14ac:dyDescent="0.25">
      <c r="A57" s="7">
        <v>18</v>
      </c>
      <c r="B57" s="9"/>
      <c r="C57" s="9">
        <v>73</v>
      </c>
      <c r="D57" s="9">
        <v>14.061214497188285</v>
      </c>
      <c r="E57" s="9">
        <v>64</v>
      </c>
      <c r="F57" s="9">
        <v>93</v>
      </c>
      <c r="G57" s="9">
        <v>63</v>
      </c>
      <c r="H57" s="9">
        <v>66</v>
      </c>
      <c r="I57" s="9"/>
    </row>
    <row r="58" spans="1:9" x14ac:dyDescent="0.25">
      <c r="A58" s="7">
        <v>19</v>
      </c>
      <c r="B58" s="9"/>
      <c r="C58" s="9">
        <v>62</v>
      </c>
      <c r="D58" s="9">
        <v>41.884087777019175</v>
      </c>
      <c r="E58" s="9">
        <v>84</v>
      </c>
      <c r="F58" s="9">
        <v>138</v>
      </c>
      <c r="G58" s="9">
        <v>74</v>
      </c>
      <c r="H58" s="9">
        <v>57</v>
      </c>
      <c r="I58" s="9"/>
    </row>
    <row r="59" spans="1:9" x14ac:dyDescent="0.25">
      <c r="A59" s="7">
        <v>20</v>
      </c>
      <c r="B59" s="9"/>
      <c r="C59" s="9">
        <v>80</v>
      </c>
      <c r="D59" s="9">
        <v>38.804049197372464</v>
      </c>
      <c r="E59" s="9">
        <v>77</v>
      </c>
      <c r="F59" s="9">
        <v>40</v>
      </c>
      <c r="G59" s="9">
        <v>76</v>
      </c>
      <c r="H59" s="9">
        <v>52</v>
      </c>
      <c r="I59" s="9"/>
    </row>
    <row r="60" spans="1:9" x14ac:dyDescent="0.25">
      <c r="A60" s="7">
        <v>21</v>
      </c>
      <c r="B60" s="9"/>
      <c r="C60" s="9">
        <v>26</v>
      </c>
      <c r="D60" s="9">
        <v>12.253717590976999</v>
      </c>
      <c r="E60" s="9">
        <v>90</v>
      </c>
      <c r="F60" s="9">
        <v>98</v>
      </c>
      <c r="G60" s="9">
        <v>82</v>
      </c>
      <c r="H60" s="9">
        <v>51</v>
      </c>
      <c r="I60" s="9"/>
    </row>
    <row r="61" spans="1:9" x14ac:dyDescent="0.25">
      <c r="A61" s="7">
        <v>22</v>
      </c>
      <c r="B61" s="9"/>
      <c r="C61" s="9">
        <v>91</v>
      </c>
      <c r="D61" s="9">
        <v>78.604550770695781</v>
      </c>
      <c r="E61" s="9">
        <v>97</v>
      </c>
      <c r="F61" s="9">
        <v>49</v>
      </c>
      <c r="G61" s="9">
        <v>93</v>
      </c>
      <c r="H61" s="9">
        <v>23</v>
      </c>
      <c r="I61" s="9"/>
    </row>
    <row r="62" spans="1:9" x14ac:dyDescent="0.25">
      <c r="A62" s="7">
        <v>23</v>
      </c>
      <c r="B62" s="9"/>
      <c r="C62" s="9">
        <v>25</v>
      </c>
      <c r="D62" s="9">
        <v>17.524812607049149</v>
      </c>
      <c r="E62" s="9">
        <v>93</v>
      </c>
      <c r="F62" s="9" t="s">
        <v>21</v>
      </c>
      <c r="G62" s="9">
        <v>92</v>
      </c>
      <c r="H62" s="9">
        <v>53</v>
      </c>
      <c r="I62" s="9"/>
    </row>
    <row r="63" spans="1:9" x14ac:dyDescent="0.25">
      <c r="A63" s="7">
        <v>24</v>
      </c>
      <c r="B63" s="9"/>
      <c r="C63" s="9">
        <v>63</v>
      </c>
      <c r="D63" s="9">
        <v>12.079733103016904</v>
      </c>
      <c r="E63" s="9">
        <v>85</v>
      </c>
      <c r="F63" s="9">
        <v>40</v>
      </c>
      <c r="G63" s="9">
        <v>78</v>
      </c>
      <c r="H63" s="9">
        <v>29</v>
      </c>
      <c r="I63" s="9"/>
    </row>
    <row r="64" spans="1:9" x14ac:dyDescent="0.25">
      <c r="A64" s="7">
        <v>25</v>
      </c>
      <c r="B64" s="9"/>
      <c r="C64" s="9">
        <v>51</v>
      </c>
      <c r="D64" s="9">
        <v>18.913254813219055</v>
      </c>
      <c r="E64" s="9">
        <v>75</v>
      </c>
      <c r="F64" s="9" t="s">
        <v>21</v>
      </c>
      <c r="G64" s="9">
        <v>73</v>
      </c>
      <c r="H64" s="9" t="s">
        <v>21</v>
      </c>
      <c r="I64" s="9"/>
    </row>
    <row r="65" spans="1:9" x14ac:dyDescent="0.25">
      <c r="A65" s="7">
        <v>26</v>
      </c>
      <c r="B65" s="9"/>
      <c r="C65" s="9">
        <v>28</v>
      </c>
      <c r="D65" s="9">
        <v>19.711160765995494</v>
      </c>
      <c r="E65" s="9">
        <v>70</v>
      </c>
      <c r="F65" s="9" t="s">
        <v>21</v>
      </c>
      <c r="G65" s="9">
        <v>68</v>
      </c>
      <c r="H65" s="9">
        <v>130</v>
      </c>
      <c r="I65" s="9"/>
    </row>
    <row r="66" spans="1:9" x14ac:dyDescent="0.25">
      <c r="A66" s="7">
        <v>27</v>
      </c>
      <c r="B66" s="9"/>
      <c r="C66" s="9">
        <v>41</v>
      </c>
      <c r="D66" s="9" t="s">
        <v>21</v>
      </c>
      <c r="E66" s="9">
        <v>91</v>
      </c>
      <c r="F66" s="9" t="s">
        <v>21</v>
      </c>
      <c r="G66" s="9">
        <v>82</v>
      </c>
      <c r="H66" s="9" t="s">
        <v>21</v>
      </c>
      <c r="I66" s="9"/>
    </row>
    <row r="67" spans="1:9" x14ac:dyDescent="0.25">
      <c r="A67" s="7">
        <v>28</v>
      </c>
      <c r="B67" s="9"/>
      <c r="C67" s="9">
        <v>30</v>
      </c>
      <c r="D67" s="9" t="s">
        <v>21</v>
      </c>
      <c r="E67" s="9">
        <v>95</v>
      </c>
      <c r="F67" s="9" t="s">
        <v>21</v>
      </c>
      <c r="G67" s="9">
        <v>89</v>
      </c>
      <c r="H67" s="9" t="s">
        <v>21</v>
      </c>
      <c r="I67" s="9"/>
    </row>
    <row r="68" spans="1:9" x14ac:dyDescent="0.25">
      <c r="A68" s="7">
        <v>29</v>
      </c>
      <c r="B68" s="9"/>
      <c r="C68" s="9">
        <v>94</v>
      </c>
      <c r="D68" s="9" t="s">
        <v>21</v>
      </c>
      <c r="E68" s="9">
        <v>94</v>
      </c>
      <c r="F68" s="9" t="s">
        <v>21</v>
      </c>
      <c r="G68" s="9">
        <v>86</v>
      </c>
      <c r="H68" s="9" t="s">
        <v>21</v>
      </c>
      <c r="I68" s="9"/>
    </row>
    <row r="69" spans="1:9" x14ac:dyDescent="0.25">
      <c r="A69" s="7">
        <v>30</v>
      </c>
      <c r="B69" s="9"/>
      <c r="C69" s="9">
        <v>22</v>
      </c>
      <c r="D69" s="9" t="s">
        <v>21</v>
      </c>
      <c r="E69" s="9">
        <v>78</v>
      </c>
      <c r="F69" s="9" t="s">
        <v>21</v>
      </c>
      <c r="G69" s="9">
        <v>72</v>
      </c>
      <c r="H69" s="9" t="s">
        <v>21</v>
      </c>
      <c r="I69" s="9"/>
    </row>
    <row r="70" spans="1:9" x14ac:dyDescent="0.25">
      <c r="A70" s="7">
        <v>31</v>
      </c>
      <c r="B70" s="9"/>
      <c r="C70" s="9">
        <v>26.609232489794522</v>
      </c>
      <c r="D70" s="9" t="s">
        <v>21</v>
      </c>
      <c r="E70" s="9">
        <v>82</v>
      </c>
      <c r="F70" s="9" t="s">
        <v>21</v>
      </c>
      <c r="G70" s="9">
        <v>74</v>
      </c>
      <c r="H70" s="9" t="s">
        <v>21</v>
      </c>
      <c r="I70" s="9"/>
    </row>
    <row r="71" spans="1:9" x14ac:dyDescent="0.25">
      <c r="A71" s="7">
        <v>32</v>
      </c>
      <c r="B71" s="9"/>
      <c r="C71" s="9">
        <v>32.521992186262601</v>
      </c>
      <c r="D71" s="9" t="s">
        <v>21</v>
      </c>
      <c r="E71" s="9">
        <v>85</v>
      </c>
      <c r="F71" s="9" t="s">
        <v>21</v>
      </c>
      <c r="G71" s="9">
        <v>79</v>
      </c>
      <c r="H71" s="9" t="s">
        <v>21</v>
      </c>
      <c r="I71" s="9" t="s">
        <v>21</v>
      </c>
    </row>
    <row r="72" spans="1:9" x14ac:dyDescent="0.25">
      <c r="A72" s="7">
        <v>33</v>
      </c>
      <c r="B72" s="9"/>
      <c r="C72" s="9">
        <v>65.561038874854347</v>
      </c>
      <c r="D72" s="9" t="s">
        <v>21</v>
      </c>
      <c r="E72" s="9">
        <v>85</v>
      </c>
      <c r="F72" s="9" t="s">
        <v>21</v>
      </c>
      <c r="G72" s="9">
        <v>78</v>
      </c>
      <c r="H72" s="9" t="s">
        <v>21</v>
      </c>
      <c r="I72" s="9" t="s">
        <v>21</v>
      </c>
    </row>
    <row r="73" spans="1:9" x14ac:dyDescent="0.25">
      <c r="A73" s="7">
        <v>34</v>
      </c>
      <c r="B73" s="9"/>
      <c r="C73" s="9">
        <v>36.321093962685211</v>
      </c>
      <c r="D73" s="9" t="s">
        <v>21</v>
      </c>
      <c r="E73" s="9">
        <v>82</v>
      </c>
      <c r="F73" s="9" t="s">
        <v>21</v>
      </c>
      <c r="G73" s="9">
        <v>81</v>
      </c>
      <c r="H73" s="9" t="s">
        <v>21</v>
      </c>
      <c r="I73" s="9" t="s">
        <v>21</v>
      </c>
    </row>
    <row r="74" spans="1:9" x14ac:dyDescent="0.25">
      <c r="A74" s="7">
        <v>35</v>
      </c>
      <c r="B74" s="9"/>
      <c r="C74" s="9"/>
      <c r="D74" s="9" t="s">
        <v>21</v>
      </c>
      <c r="E74" s="9" t="s">
        <v>21</v>
      </c>
      <c r="F74" s="9" t="s">
        <v>21</v>
      </c>
      <c r="G74" s="9" t="s">
        <v>21</v>
      </c>
      <c r="H74" s="9" t="s">
        <v>21</v>
      </c>
      <c r="I74" s="9" t="s">
        <v>21</v>
      </c>
    </row>
    <row r="75" spans="1:9" x14ac:dyDescent="0.25">
      <c r="A75" s="7">
        <v>36</v>
      </c>
      <c r="B75" s="9"/>
      <c r="C75" s="9"/>
      <c r="D75" s="9" t="s">
        <v>21</v>
      </c>
      <c r="E75" s="9" t="s">
        <v>21</v>
      </c>
      <c r="F75" s="9" t="s">
        <v>21</v>
      </c>
      <c r="G75" s="9">
        <v>20</v>
      </c>
      <c r="H75" s="9"/>
      <c r="I75" s="9" t="s">
        <v>21</v>
      </c>
    </row>
    <row r="76" spans="1:9" x14ac:dyDescent="0.25">
      <c r="A76" s="7">
        <v>37</v>
      </c>
      <c r="B76" s="9"/>
      <c r="C76" s="9"/>
      <c r="D76" s="9" t="s">
        <v>21</v>
      </c>
      <c r="E76" s="9">
        <v>30</v>
      </c>
      <c r="F76" s="9" t="s">
        <v>21</v>
      </c>
      <c r="G76" s="9">
        <v>10</v>
      </c>
      <c r="H76" s="9"/>
      <c r="I76" s="9" t="s">
        <v>21</v>
      </c>
    </row>
    <row r="77" spans="1:9" x14ac:dyDescent="0.25">
      <c r="A77" s="7">
        <v>38</v>
      </c>
      <c r="B77" s="9"/>
      <c r="C77" s="9"/>
      <c r="D77" s="9" t="s">
        <v>21</v>
      </c>
      <c r="E77" s="9">
        <v>140</v>
      </c>
      <c r="F77" s="9" t="s">
        <v>21</v>
      </c>
      <c r="G77" s="9">
        <v>140</v>
      </c>
      <c r="H77" s="9"/>
      <c r="I77" s="9" t="s">
        <v>21</v>
      </c>
    </row>
    <row r="78" spans="1:9" x14ac:dyDescent="0.25">
      <c r="A78" s="7">
        <v>39</v>
      </c>
      <c r="B78" s="9"/>
      <c r="C78" s="9"/>
      <c r="D78" s="9" t="s">
        <v>21</v>
      </c>
      <c r="E78" s="9">
        <v>145</v>
      </c>
      <c r="F78" s="9" t="s">
        <v>21</v>
      </c>
      <c r="G78" s="9">
        <v>130</v>
      </c>
      <c r="H78" s="9"/>
      <c r="I78" s="9" t="s">
        <v>21</v>
      </c>
    </row>
    <row r="79" spans="1:9" x14ac:dyDescent="0.25">
      <c r="A79" s="7">
        <v>40</v>
      </c>
      <c r="B79" s="9" t="s">
        <v>21</v>
      </c>
      <c r="C79" s="9"/>
      <c r="D79" s="9" t="s">
        <v>21</v>
      </c>
      <c r="E79" s="9" t="s">
        <v>21</v>
      </c>
      <c r="F79" s="9" t="s">
        <v>21</v>
      </c>
      <c r="G79" s="9" t="s">
        <v>21</v>
      </c>
      <c r="H79" s="9"/>
      <c r="I79" s="9" t="s">
        <v>21</v>
      </c>
    </row>
    <row r="80" spans="1:9" x14ac:dyDescent="0.25">
      <c r="A80" s="10"/>
      <c r="B80" s="11"/>
      <c r="C80" s="11"/>
      <c r="D80" s="12"/>
      <c r="E80" s="12"/>
      <c r="F80" s="12"/>
      <c r="G80" s="12"/>
      <c r="H80" s="12"/>
      <c r="I80" s="12"/>
    </row>
  </sheetData>
  <mergeCells count="1">
    <mergeCell ref="C20:E20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222AF-4FD6-4524-A31D-70A55F6397B4}">
  <sheetPr codeName="Sheet1"/>
  <dimension ref="A1:M30"/>
  <sheetViews>
    <sheetView workbookViewId="0">
      <selection activeCell="H6" sqref="H6"/>
    </sheetView>
  </sheetViews>
  <sheetFormatPr defaultRowHeight="15.75" x14ac:dyDescent="0.25"/>
  <sheetData>
    <row r="1" spans="1:13" x14ac:dyDescent="0.25">
      <c r="A1">
        <v>15</v>
      </c>
      <c r="B1">
        <v>16</v>
      </c>
    </row>
    <row r="2" spans="1:13" x14ac:dyDescent="0.25">
      <c r="A2">
        <v>15</v>
      </c>
      <c r="B2">
        <v>16</v>
      </c>
    </row>
    <row r="3" spans="1:13" x14ac:dyDescent="0.25">
      <c r="A3">
        <v>15</v>
      </c>
      <c r="B3">
        <v>16</v>
      </c>
    </row>
    <row r="5" spans="1:13" x14ac:dyDescent="0.25">
      <c r="G5" s="5" t="s">
        <v>3</v>
      </c>
      <c r="H5" s="5"/>
      <c r="I5" s="5" t="s">
        <v>6</v>
      </c>
      <c r="J5" s="5"/>
    </row>
    <row r="6" spans="1:13" x14ac:dyDescent="0.25">
      <c r="D6" s="1" t="s">
        <v>1</v>
      </c>
      <c r="E6" s="1" t="s">
        <v>0</v>
      </c>
      <c r="F6" s="1" t="s">
        <v>2</v>
      </c>
      <c r="G6" s="1" t="s">
        <v>4</v>
      </c>
      <c r="H6" s="1" t="s">
        <v>5</v>
      </c>
      <c r="I6" s="1" t="s">
        <v>4</v>
      </c>
      <c r="J6" s="1" t="s">
        <v>5</v>
      </c>
    </row>
    <row r="7" spans="1:13" x14ac:dyDescent="0.25">
      <c r="D7" s="4">
        <v>33</v>
      </c>
      <c r="E7" s="2">
        <f t="shared" ref="E7:E29" si="0">D7/2</f>
        <v>16.5</v>
      </c>
      <c r="F7" s="2">
        <f t="shared" ref="F7:F29" si="1">20-E7</f>
        <v>3.5</v>
      </c>
      <c r="G7" s="4">
        <v>4561.13</v>
      </c>
      <c r="H7" s="4"/>
      <c r="I7" s="4"/>
      <c r="J7" s="4">
        <f t="shared" ref="J7:J29" si="2">2*PI()*20*D7</f>
        <v>4146.9023027385265</v>
      </c>
      <c r="L7">
        <f t="shared" ref="L7" si="3">D7</f>
        <v>33</v>
      </c>
      <c r="M7">
        <f t="shared" ref="M7" si="4">G7/J7</f>
        <v>1.0998884630071768</v>
      </c>
    </row>
    <row r="8" spans="1:13" x14ac:dyDescent="0.25">
      <c r="D8" s="1">
        <v>32</v>
      </c>
      <c r="E8" s="2">
        <f t="shared" si="0"/>
        <v>16</v>
      </c>
      <c r="F8" s="2">
        <f t="shared" si="1"/>
        <v>4</v>
      </c>
      <c r="G8" s="1">
        <v>4480.3</v>
      </c>
      <c r="H8" s="1">
        <v>4021.24</v>
      </c>
      <c r="I8" s="1">
        <f>4*PI()*PI()*E8*F8/2</f>
        <v>1263.3093633394378</v>
      </c>
      <c r="J8" s="4">
        <f t="shared" si="2"/>
        <v>4021.2385965949352</v>
      </c>
      <c r="L8">
        <f t="shared" ref="L8:L13" si="5">D8</f>
        <v>32</v>
      </c>
      <c r="M8">
        <f t="shared" ref="M8:M28" si="6">G8/J8</f>
        <v>1.1141592055228418</v>
      </c>
    </row>
    <row r="9" spans="1:13" x14ac:dyDescent="0.25">
      <c r="D9" s="4">
        <v>31</v>
      </c>
      <c r="E9" s="2">
        <f t="shared" si="0"/>
        <v>15.5</v>
      </c>
      <c r="F9" s="2">
        <f t="shared" si="1"/>
        <v>4.5</v>
      </c>
      <c r="G9" s="4">
        <v>4395.88</v>
      </c>
      <c r="H9" s="4"/>
      <c r="I9" s="4"/>
      <c r="J9" s="4">
        <f t="shared" si="2"/>
        <v>3895.5748904513434</v>
      </c>
      <c r="L9">
        <f t="shared" si="5"/>
        <v>31</v>
      </c>
      <c r="M9">
        <f t="shared" si="6"/>
        <v>1.1284290826432273</v>
      </c>
    </row>
    <row r="10" spans="1:13" x14ac:dyDescent="0.25">
      <c r="D10" s="3">
        <v>30</v>
      </c>
      <c r="E10" s="2">
        <f t="shared" si="0"/>
        <v>15</v>
      </c>
      <c r="F10" s="2">
        <f t="shared" si="1"/>
        <v>5</v>
      </c>
      <c r="G10" s="3">
        <v>4307.87</v>
      </c>
      <c r="H10" s="3"/>
      <c r="I10" s="3"/>
      <c r="J10" s="4">
        <f t="shared" si="2"/>
        <v>3769.9111843077517</v>
      </c>
      <c r="L10">
        <f t="shared" si="5"/>
        <v>30</v>
      </c>
      <c r="M10">
        <f t="shared" si="6"/>
        <v>1.1426980078288054</v>
      </c>
    </row>
    <row r="11" spans="1:13" x14ac:dyDescent="0.25">
      <c r="D11" s="4">
        <v>29</v>
      </c>
      <c r="E11" s="2">
        <f t="shared" si="0"/>
        <v>14.5</v>
      </c>
      <c r="F11" s="2">
        <f t="shared" si="1"/>
        <v>5.5</v>
      </c>
      <c r="G11" s="4">
        <v>4216</v>
      </c>
      <c r="H11" s="4"/>
      <c r="I11" s="4"/>
      <c r="J11" s="4">
        <f t="shared" si="2"/>
        <v>3644.2474781641599</v>
      </c>
      <c r="L11">
        <f t="shared" si="5"/>
        <v>29</v>
      </c>
      <c r="M11">
        <f t="shared" si="6"/>
        <v>1.1568917932335014</v>
      </c>
    </row>
    <row r="12" spans="1:13" x14ac:dyDescent="0.25">
      <c r="D12" s="3">
        <v>28</v>
      </c>
      <c r="E12" s="2">
        <f t="shared" si="0"/>
        <v>14</v>
      </c>
      <c r="F12" s="2">
        <f t="shared" si="1"/>
        <v>6</v>
      </c>
      <c r="G12" s="3">
        <v>4121.1000000000004</v>
      </c>
      <c r="H12" s="3"/>
      <c r="I12" s="3"/>
      <c r="J12" s="3">
        <f t="shared" si="2"/>
        <v>3518.5837720205682</v>
      </c>
      <c r="L12">
        <f t="shared" si="5"/>
        <v>28</v>
      </c>
      <c r="M12">
        <f t="shared" si="6"/>
        <v>1.1712382785285893</v>
      </c>
    </row>
    <row r="13" spans="1:13" x14ac:dyDescent="0.25">
      <c r="D13" s="3">
        <v>26</v>
      </c>
      <c r="E13" s="2">
        <f t="shared" si="0"/>
        <v>13</v>
      </c>
      <c r="F13" s="2">
        <f t="shared" si="1"/>
        <v>7</v>
      </c>
      <c r="G13" s="3">
        <v>3919.98</v>
      </c>
      <c r="H13" s="3"/>
      <c r="I13" s="3"/>
      <c r="J13" s="3">
        <f t="shared" si="2"/>
        <v>3267.2563597333847</v>
      </c>
      <c r="L13">
        <f t="shared" si="5"/>
        <v>26</v>
      </c>
      <c r="M13">
        <f t="shared" si="6"/>
        <v>1.199777295810323</v>
      </c>
    </row>
    <row r="14" spans="1:13" x14ac:dyDescent="0.25">
      <c r="D14" s="1">
        <v>24</v>
      </c>
      <c r="E14" s="2">
        <f t="shared" si="0"/>
        <v>12</v>
      </c>
      <c r="F14" s="2">
        <f t="shared" si="1"/>
        <v>8</v>
      </c>
      <c r="G14" s="1">
        <v>3704.52</v>
      </c>
      <c r="H14" s="1"/>
      <c r="I14" s="1"/>
      <c r="J14" s="1">
        <f t="shared" si="2"/>
        <v>3015.9289474462012</v>
      </c>
      <c r="L14">
        <f t="shared" ref="L14:L29" si="7">D14</f>
        <v>24</v>
      </c>
      <c r="M14">
        <f t="shared" si="6"/>
        <v>1.2283180620474754</v>
      </c>
    </row>
    <row r="15" spans="1:13" x14ac:dyDescent="0.25">
      <c r="D15" s="1">
        <v>22</v>
      </c>
      <c r="E15" s="2">
        <f t="shared" si="0"/>
        <v>11</v>
      </c>
      <c r="F15" s="2">
        <f t="shared" si="1"/>
        <v>9</v>
      </c>
      <c r="G15" s="1">
        <v>3474.71</v>
      </c>
      <c r="H15" s="1"/>
      <c r="I15" s="1"/>
      <c r="J15" s="1">
        <f t="shared" si="2"/>
        <v>2764.6015351590181</v>
      </c>
      <c r="L15">
        <f t="shared" si="7"/>
        <v>22</v>
      </c>
      <c r="M15">
        <f t="shared" si="6"/>
        <v>1.25685743707009</v>
      </c>
    </row>
    <row r="16" spans="1:13" x14ac:dyDescent="0.25">
      <c r="D16" s="1">
        <v>20</v>
      </c>
      <c r="E16" s="2">
        <f t="shared" si="0"/>
        <v>10</v>
      </c>
      <c r="F16" s="2">
        <f t="shared" si="1"/>
        <v>10</v>
      </c>
      <c r="G16" s="1">
        <v>3230.56</v>
      </c>
      <c r="H16" s="1"/>
      <c r="I16" s="1"/>
      <c r="J16" s="1">
        <f t="shared" si="2"/>
        <v>2513.2741228718346</v>
      </c>
      <c r="L16">
        <f t="shared" si="7"/>
        <v>20</v>
      </c>
      <c r="M16">
        <f t="shared" si="6"/>
        <v>1.2853989823873835</v>
      </c>
    </row>
    <row r="17" spans="4:13" x14ac:dyDescent="0.25">
      <c r="D17" s="1">
        <v>18</v>
      </c>
      <c r="E17" s="2">
        <f t="shared" si="0"/>
        <v>9</v>
      </c>
      <c r="F17" s="2">
        <f t="shared" si="1"/>
        <v>11</v>
      </c>
      <c r="G17" s="1">
        <v>2972.06</v>
      </c>
      <c r="H17" s="1"/>
      <c r="I17" s="1"/>
      <c r="J17" s="1">
        <f t="shared" si="2"/>
        <v>2261.9467105846511</v>
      </c>
      <c r="L17">
        <f t="shared" si="7"/>
        <v>18</v>
      </c>
      <c r="M17">
        <f t="shared" si="6"/>
        <v>1.3139390004602736</v>
      </c>
    </row>
    <row r="18" spans="4:13" x14ac:dyDescent="0.25">
      <c r="D18" s="1">
        <v>16</v>
      </c>
      <c r="E18" s="2">
        <f t="shared" si="0"/>
        <v>8</v>
      </c>
      <c r="F18" s="2">
        <f t="shared" si="1"/>
        <v>12</v>
      </c>
      <c r="G18" s="1">
        <v>2699.21</v>
      </c>
      <c r="H18" s="1">
        <v>2010.62</v>
      </c>
      <c r="I18" s="1">
        <f t="shared" ref="I18:I29" si="8">4*PI()*PI()*E18*F18/2</f>
        <v>1894.9640450091567</v>
      </c>
      <c r="J18" s="1">
        <f t="shared" si="2"/>
        <v>2010.6192982974676</v>
      </c>
      <c r="L18">
        <f t="shared" si="7"/>
        <v>16</v>
      </c>
      <c r="M18">
        <f t="shared" si="6"/>
        <v>1.3424769185721088</v>
      </c>
    </row>
    <row r="19" spans="4:13" x14ac:dyDescent="0.25">
      <c r="D19" s="1">
        <v>14</v>
      </c>
      <c r="E19" s="2">
        <f t="shared" si="0"/>
        <v>7</v>
      </c>
      <c r="F19" s="2">
        <f t="shared" si="1"/>
        <v>13</v>
      </c>
      <c r="G19" s="1">
        <v>2412.02</v>
      </c>
      <c r="H19" s="1"/>
      <c r="I19" s="1"/>
      <c r="J19" s="1">
        <f t="shared" si="2"/>
        <v>1759.2918860102841</v>
      </c>
      <c r="L19">
        <f t="shared" si="7"/>
        <v>14</v>
      </c>
      <c r="M19">
        <f t="shared" si="6"/>
        <v>1.3710175208446909</v>
      </c>
    </row>
    <row r="20" spans="4:13" x14ac:dyDescent="0.25">
      <c r="D20" s="1">
        <v>12</v>
      </c>
      <c r="E20" s="2">
        <f t="shared" si="0"/>
        <v>6</v>
      </c>
      <c r="F20" s="2">
        <f t="shared" si="1"/>
        <v>14</v>
      </c>
      <c r="G20" s="1">
        <v>2110.48</v>
      </c>
      <c r="H20" s="1"/>
      <c r="I20" s="1"/>
      <c r="J20" s="1">
        <f t="shared" si="2"/>
        <v>1507.9644737231006</v>
      </c>
      <c r="L20">
        <f t="shared" si="7"/>
        <v>12</v>
      </c>
      <c r="M20">
        <f t="shared" si="6"/>
        <v>1.3995555179024304</v>
      </c>
    </row>
    <row r="21" spans="4:13" x14ac:dyDescent="0.25">
      <c r="D21" s="1">
        <v>10</v>
      </c>
      <c r="E21" s="2">
        <f t="shared" si="0"/>
        <v>5</v>
      </c>
      <c r="F21" s="2">
        <f t="shared" si="1"/>
        <v>15</v>
      </c>
      <c r="G21" s="1">
        <v>1794.6</v>
      </c>
      <c r="H21" s="1"/>
      <c r="I21" s="1"/>
      <c r="J21" s="1">
        <f t="shared" si="2"/>
        <v>1256.6370614359173</v>
      </c>
      <c r="L21">
        <f t="shared" si="7"/>
        <v>10</v>
      </c>
      <c r="M21">
        <f t="shared" si="6"/>
        <v>1.4280973043635767</v>
      </c>
    </row>
    <row r="22" spans="4:13" x14ac:dyDescent="0.25">
      <c r="D22" s="1">
        <v>9</v>
      </c>
      <c r="E22" s="2">
        <f t="shared" si="0"/>
        <v>4.5</v>
      </c>
      <c r="F22" s="2">
        <f t="shared" si="1"/>
        <v>15.5</v>
      </c>
      <c r="G22" s="1">
        <v>1631.28</v>
      </c>
      <c r="H22" s="1"/>
      <c r="I22" s="1"/>
      <c r="J22" s="1">
        <f t="shared" si="2"/>
        <v>1130.9733552923256</v>
      </c>
      <c r="L22">
        <f t="shared" si="7"/>
        <v>9</v>
      </c>
      <c r="M22">
        <f t="shared" si="6"/>
        <v>1.44236819759415</v>
      </c>
    </row>
    <row r="23" spans="4:13" x14ac:dyDescent="0.25">
      <c r="D23" s="1">
        <v>8</v>
      </c>
      <c r="E23" s="2">
        <f t="shared" si="0"/>
        <v>4</v>
      </c>
      <c r="F23" s="2">
        <f t="shared" si="1"/>
        <v>16</v>
      </c>
      <c r="G23" s="1">
        <v>1464.37</v>
      </c>
      <c r="H23" s="1">
        <v>1005.31</v>
      </c>
      <c r="I23" s="1">
        <f t="shared" si="8"/>
        <v>1263.3093633394378</v>
      </c>
      <c r="J23" s="1">
        <f t="shared" si="2"/>
        <v>1005.3096491487338</v>
      </c>
      <c r="L23">
        <f t="shared" si="7"/>
        <v>8</v>
      </c>
      <c r="M23">
        <f t="shared" si="6"/>
        <v>1.4566357750967422</v>
      </c>
    </row>
    <row r="24" spans="4:13" x14ac:dyDescent="0.25">
      <c r="D24" s="1">
        <v>7</v>
      </c>
      <c r="E24" s="2">
        <f t="shared" si="0"/>
        <v>3.5</v>
      </c>
      <c r="F24" s="2">
        <f t="shared" si="1"/>
        <v>16.5</v>
      </c>
      <c r="G24" s="1">
        <v>1293.8800000000001</v>
      </c>
      <c r="H24" s="1"/>
      <c r="I24" s="1"/>
      <c r="J24" s="1">
        <f t="shared" si="2"/>
        <v>879.64594300514204</v>
      </c>
      <c r="L24">
        <f t="shared" si="7"/>
        <v>7</v>
      </c>
      <c r="M24">
        <f t="shared" si="6"/>
        <v>1.4709099840552968</v>
      </c>
    </row>
    <row r="25" spans="4:13" x14ac:dyDescent="0.25">
      <c r="D25" s="1">
        <v>6</v>
      </c>
      <c r="E25" s="2">
        <f t="shared" si="0"/>
        <v>3</v>
      </c>
      <c r="F25" s="2">
        <f t="shared" si="1"/>
        <v>17</v>
      </c>
      <c r="G25" s="1">
        <v>1119.8</v>
      </c>
      <c r="H25" s="1"/>
      <c r="I25" s="1"/>
      <c r="J25" s="1">
        <f t="shared" si="2"/>
        <v>753.98223686155029</v>
      </c>
      <c r="L25">
        <f t="shared" si="7"/>
        <v>6</v>
      </c>
      <c r="M25">
        <f t="shared" si="6"/>
        <v>1.4851808772858701</v>
      </c>
    </row>
    <row r="26" spans="4:13" x14ac:dyDescent="0.25">
      <c r="D26" s="1">
        <v>5</v>
      </c>
      <c r="E26" s="2">
        <f t="shared" si="0"/>
        <v>2.5</v>
      </c>
      <c r="F26" s="2">
        <f t="shared" si="1"/>
        <v>17.5</v>
      </c>
      <c r="G26" s="1">
        <v>942.13</v>
      </c>
      <c r="H26" s="1"/>
      <c r="I26" s="1"/>
      <c r="J26" s="1">
        <f t="shared" si="2"/>
        <v>628.31853071795865</v>
      </c>
      <c r="L26">
        <f t="shared" si="7"/>
        <v>5</v>
      </c>
      <c r="M26">
        <f t="shared" si="6"/>
        <v>1.4994464653516735</v>
      </c>
    </row>
    <row r="27" spans="4:13" x14ac:dyDescent="0.25">
      <c r="D27" s="1">
        <v>4</v>
      </c>
      <c r="E27" s="2">
        <f t="shared" si="0"/>
        <v>2</v>
      </c>
      <c r="F27" s="2">
        <f t="shared" si="1"/>
        <v>18</v>
      </c>
      <c r="G27" s="1">
        <v>760.88</v>
      </c>
      <c r="H27" s="1">
        <v>502.65</v>
      </c>
      <c r="I27" s="1">
        <f t="shared" si="8"/>
        <v>710.6115168784338</v>
      </c>
      <c r="J27" s="1">
        <f t="shared" si="2"/>
        <v>502.6548245743669</v>
      </c>
      <c r="L27">
        <f t="shared" si="7"/>
        <v>4</v>
      </c>
      <c r="M27">
        <f t="shared" si="6"/>
        <v>1.5137226637470167</v>
      </c>
    </row>
    <row r="28" spans="4:13" x14ac:dyDescent="0.25">
      <c r="D28" s="1">
        <v>3</v>
      </c>
      <c r="E28" s="2">
        <f t="shared" si="0"/>
        <v>1.5</v>
      </c>
      <c r="F28" s="2">
        <f t="shared" si="1"/>
        <v>18.5</v>
      </c>
      <c r="G28" s="1">
        <v>576.04</v>
      </c>
      <c r="H28" s="1">
        <v>376.99</v>
      </c>
      <c r="I28" s="1">
        <f t="shared" si="8"/>
        <v>547.76304426045942</v>
      </c>
      <c r="J28" s="1">
        <f t="shared" si="2"/>
        <v>376.99111843077515</v>
      </c>
      <c r="L28">
        <f t="shared" si="7"/>
        <v>3</v>
      </c>
      <c r="M28">
        <f t="shared" si="6"/>
        <v>1.52799355697759</v>
      </c>
    </row>
    <row r="29" spans="4:13" x14ac:dyDescent="0.25">
      <c r="D29" s="1">
        <v>2</v>
      </c>
      <c r="E29" s="2">
        <f t="shared" si="0"/>
        <v>1</v>
      </c>
      <c r="F29" s="2">
        <f t="shared" si="1"/>
        <v>19</v>
      </c>
      <c r="G29" s="1">
        <v>387.61</v>
      </c>
      <c r="H29" s="1">
        <v>251.33</v>
      </c>
      <c r="I29" s="1">
        <f t="shared" si="8"/>
        <v>375.04496724139563</v>
      </c>
      <c r="J29" s="1">
        <f t="shared" si="2"/>
        <v>251.32741228718345</v>
      </c>
      <c r="L29">
        <f t="shared" si="7"/>
        <v>2</v>
      </c>
      <c r="M29">
        <f>G29/J29</f>
        <v>1.542251187296239</v>
      </c>
    </row>
    <row r="30" spans="4:13" x14ac:dyDescent="0.25">
      <c r="D30" s="1">
        <v>1</v>
      </c>
      <c r="E30" s="2">
        <f>D30/2</f>
        <v>0.5</v>
      </c>
      <c r="F30" s="2">
        <f>20-E30</f>
        <v>19.5</v>
      </c>
      <c r="G30" s="1">
        <v>195.6</v>
      </c>
      <c r="H30" s="1">
        <v>125.66</v>
      </c>
      <c r="I30" s="1">
        <f>4*PI()*PI()*E30*F30/2</f>
        <v>192.45728582124249</v>
      </c>
      <c r="J30" s="1">
        <f>2*PI()*20*D30</f>
        <v>125.66370614359172</v>
      </c>
      <c r="L30">
        <f>D30</f>
        <v>1</v>
      </c>
      <c r="M30">
        <f t="shared" ref="M30" si="9">G30/H30</f>
        <v>1.5565812509947476</v>
      </c>
    </row>
  </sheetData>
  <dataConsolidate/>
  <mergeCells count="2">
    <mergeCell ref="G5:H5"/>
    <mergeCell ref="I5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 (2)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rawr</dc:creator>
  <cp:lastModifiedBy>rawr</cp:lastModifiedBy>
  <dcterms:created xsi:type="dcterms:W3CDTF">2020-06-05T15:43:30Z</dcterms:created>
  <dcterms:modified xsi:type="dcterms:W3CDTF">2020-06-17T16:24:22Z</dcterms:modified>
</cp:coreProperties>
</file>